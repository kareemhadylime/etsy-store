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7.xml" ContentType="application/vnd.openxmlformats-officedocument.spreadsheetml.comment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 Dashboard" sheetId="1" state="visible" r:id="rId3"/>
    <sheet name="📊 Holdings Master" sheetId="2" state="visible" r:id="rId4"/>
    <sheet name="💵 Cash &amp; FX Holdings" sheetId="3" state="visible" r:id="rId5"/>
    <sheet name="📈 Stocks Tracker" sheetId="4" state="visible" r:id="rId6"/>
    <sheet name="🗂️ ETFs &amp; Mutual Funds" sheetId="5" state="visible" r:id="rId7"/>
    <sheet name="💰 Dividend Income Calendar" sheetId="6" state="visible" r:id="rId8"/>
    <sheet name="📈 Asset Allocation" sheetId="7" state="visible" r:id="rId9"/>
    <sheet name="📊 Annual Summary" sheetId="8" state="visible" r:id="rId10"/>
    <sheet name="💵 Bonds &amp; Fixed Income" sheetId="9" state="visible" r:id="rId11"/>
    <sheet name="🥇 Precious Metals" sheetId="10" state="visible" r:id="rId12"/>
    <sheet name="💎 Crypto Tracker" sheetId="11" state="visible" r:id="rId13"/>
    <sheet name="🏢 REITs Tracker" sheetId="12" state="visible" r:id="rId14"/>
    <sheet name="🎁 Options &amp; RSUs" sheetId="13" state="visible" r:id="rId15"/>
    <sheet name="📊 Performance &amp; Returns" sheetId="14" state="visible" r:id="rId16"/>
    <sheet name="📐 Risk Metrics" sheetId="15" state="visible" r:id="rId17"/>
    <sheet name="🧾 Tax Lot Tracker" sheetId="16" state="visible" r:id="rId18"/>
    <sheet name="📉 Tax-Loss Harvesting" sheetId="17" state="visible" r:id="rId19"/>
    <sheet name="🎯 Scenario Simulator" sheetId="18" state="visible" r:id="rId20"/>
    <sheet name="ℹ️ About &amp; Help" sheetId="19" state="visible" r:id="rId2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Lime Premium Studios</author>
  </authors>
  <commentList>
    <comment ref="E9" authorId="0">
      <text>
        <r>
          <rPr>
            <sz val="10"/>
            <rFont val="Arial"/>
            <family val="2"/>
          </rPr>
          <t xml:space="preserve">Shares/units held. For fractional crypto use full decimal precision (e.g. 0.65 for 0.65 BTC).</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62</xdr:colOff>
                <xdr:row>1</xdr:row>
                <xdr:rowOff>-1</xdr:rowOff>
              </xdr:to>
            </anchor>
          </commentPr>
        </mc:Choice>
        <mc:Fallback/>
      </mc:AlternateContent>
    </comment>
    <comment ref="F9" authorId="0">
      <text>
        <r>
          <rPr>
            <sz val="10"/>
            <rFont val="Arial"/>
            <family val="2"/>
          </rPr>
          <t xml:space="preserve">Average cost per share = total amount paid / total shares.
For FIFO/LIFO lot tracking, use Tax Lot Tracker tab (Pro/AI).</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62</xdr:colOff>
                <xdr:row>1</xdr:row>
                <xdr:rowOff>-1</xdr:rowOff>
              </xdr:to>
            </anchor>
          </commentPr>
        </mc:Choice>
        <mc:Fallback/>
      </mc:AlternateContent>
    </comment>
    <comment ref="I9" authorId="0">
      <text>
        <r>
          <rPr>
            <sz val="10"/>
            <rFont val="Arial"/>
            <family val="2"/>
          </rPr>
          <t xml:space="preserve">Current price per share/unit.
In Google Sheets: replace with =GOOGLEFINANCE(B9) for live price.
In Excel: enter manually and update monthly.</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62</xdr:colOff>
                <xdr:row>1</xdr:row>
                <xdr:rowOff>-1</xdr:rowOff>
              </xdr:to>
            </anchor>
          </commentPr>
        </mc:Choice>
        <mc:Fallback/>
      </mc:AlternateContent>
    </comment>
    <comment ref="L9" authorId="0">
      <text>
        <r>
          <rPr>
            <sz val="10"/>
            <rFont val="Arial"/>
            <family val="2"/>
          </rPr>
          <t xml:space="preserve">Tip: Monitor any position exceeding 25% of portfolio total. Single-stock concentration above 10% in taxable accounts typically warrants review. Employer stock in 401k above 10% is a known risk factor.</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62</xdr:colOff>
                <xdr:row>1</xdr:row>
                <xdr:rowOff>-1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Lime Premium Studios</author>
  </authors>
  <commentList>
    <comment ref="E10" authorId="0">
      <text>
        <r>
          <rPr>
            <sz val="10"/>
            <rFont val="Arial"/>
            <family val="2"/>
          </rPr>
          <t xml:space="preserve">Enter as decimal fraction:
0.60 = 60%
0.30 = 30%
All targets should sum to 1.00 (100%)</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18</xdr:colOff>
                <xdr:row>1</xdr:row>
                <xdr:rowOff>-1</xdr:rowOff>
              </xdr:to>
            </anchor>
          </commentPr>
        </mc:Choice>
        <mc:Fallback/>
      </mc:AlternateContent>
    </comment>
  </commentList>
</comments>
</file>

<file path=xl/sharedStrings.xml><?xml version="1.0" encoding="utf-8"?>
<sst xmlns="http://schemas.openxmlformats.org/spreadsheetml/2006/main" count="630" uniqueCount="411">
  <si>
    <t xml:space="preserve">    Lime Premium Studios</t>
  </si>
  <si>
    <t xml:space="preserve">Investment Portfolio Tracker — Pro</t>
  </si>
  <si>
    <t xml:space="preserve">🏠 Dashboard</t>
  </si>
  <si>
    <t xml:space="preserve">✦  Why a Spreadsheet, Not an App?   Sharesight $96/yr. Stock Rover $300/yr. Kubera $200/yr. We charge $17 once. No broker linking — your credentials stay at your broker.</t>
  </si>
  <si>
    <t xml:space="preserve">Your portfolio at a glance — every KPI recomputes the moment GOOGLEFINANCE refreshes Holdings Master.</t>
  </si>
  <si>
    <t xml:space="preserve">Top-5 holdings by value</t>
  </si>
  <si>
    <t xml:space="preserve">Ranked descending. Concentration alert badge when single position exceeds 20% of portfolio.</t>
  </si>
  <si>
    <t xml:space="preserve">Rank</t>
  </si>
  <si>
    <t xml:space="preserve">Ticker</t>
  </si>
  <si>
    <t xml:space="preserve">Position $</t>
  </si>
  <si>
    <t xml:space="preserve">% of Portfolio</t>
  </si>
  <si>
    <t xml:space="preserve">Concentration Flag</t>
  </si>
  <si>
    <t xml:space="preserve">#1</t>
  </si>
  <si>
    <t xml:space="preserve">#2</t>
  </si>
  <si>
    <t xml:space="preserve">#3</t>
  </si>
  <si>
    <t xml:space="preserve">#4</t>
  </si>
  <si>
    <t xml:space="preserve">#5</t>
  </si>
  <si>
    <t xml:space="preserve">Asset allocation — current vs target</t>
  </si>
  <si>
    <t xml:space="preserve">10 classes. Drift indicators on slices &gt;5pp from target.</t>
  </si>
  <si>
    <t xml:space="preserve">Asset Class</t>
  </si>
  <si>
    <t xml:space="preserve">Current $</t>
  </si>
  <si>
    <t xml:space="preserve">Current %</t>
  </si>
  <si>
    <t xml:space="preserve">Target %</t>
  </si>
  <si>
    <t xml:space="preserve">Drift (pp)</t>
  </si>
  <si>
    <t xml:space="preserve">Status</t>
  </si>
  <si>
    <t xml:space="preserve">Stocks</t>
  </si>
  <si>
    <t xml:space="preserve">ETFs</t>
  </si>
  <si>
    <t xml:space="preserve">Mutual Funds</t>
  </si>
  <si>
    <t xml:space="preserve">Bonds</t>
  </si>
  <si>
    <t xml:space="preserve">Cash</t>
  </si>
  <si>
    <t xml:space="preserve">Metals</t>
  </si>
  <si>
    <t xml:space="preserve">Crypto</t>
  </si>
  <si>
    <t xml:space="preserve">REITs</t>
  </si>
  <si>
    <t xml:space="preserve">CDs</t>
  </si>
  <si>
    <t xml:space="preserve">Options/RSUs</t>
  </si>
  <si>
    <t xml:space="preserve">Portfolio trajectory · last 24 months</t>
  </si>
  <si>
    <t xml:space="preserve">Snapshot-driven from monthly entries on Annual Summary tab. Charcoal = actual NAV; warm-gold = cost basis. Gap = unrealized gains.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</si>
  <si>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</si>
  <si>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</si>
  <si>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</si>
  <si>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</si>
  <si>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</si>
  <si>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</si>
  <si>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</si>
  <si>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</si>
  <si>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</si>
  <si>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</si>
  <si>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</si>
  <si>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  Dashboard inputs — verify cells light up after Holdings Master edits
Asset allocation pulls SUMIF from Holdings Master column D (asset class). Top-5 uses LARGE() on column J (current value). Drift bands: ±2pp = mild, ±5pp = significant. GOOGLEFINANCE refreshes daily — close + reopen the sheet to force a refresh if KPIs look stale.</t>
  </si>
  <si>
    <t xml:space="preserve">Lime Premium Studios  ·  Investment Portfolio Tracker Pro v1.0  ·  Privacy-first. No Plaid. No app.</t>
  </si>
  <si>
    <t xml:space="preserve">📊 Holdings Master</t>
  </si>
  <si>
    <t xml:space="preserve">Every position across 10 asset classes + 8 account types. Live Price = GOOGLEFINANCE — locked formula cell, not buyer-edited. Essentials cap: 30 positions; Pro/AI: 60.</t>
  </si>
  <si>
    <t xml:space="preserve">Position grid — 60 rows · 10 asset classes · 8 account types</t>
  </si>
  <si>
    <t xml:space="preserve">Required: Ticker (B) + Account (C) + Asset Class (D) + Shares (E) + Avg Cost (F). Live Price (I) populates via =GOOGLEFINANCE(B&lt;row&gt;) in Google Sheets — see callout below.</t>
  </si>
  <si>
    <t xml:space="preserve">G/L %</t>
  </si>
  <si>
    <t xml:space="preserve">VTI</t>
  </si>
  <si>
    <t xml:space="preserve">Brokerage Taxable</t>
  </si>
  <si>
    <t xml:space="preserve">2024-01-01</t>
  </si>
  <si>
    <t xml:space="preserve">VXUS</t>
  </si>
  <si>
    <t xml:space="preserve">BND</t>
  </si>
  <si>
    <t xml:space="preserve">TOTAL</t>
  </si>
  <si>
    <t xml:space="preserve">NFT/Illiquid Assets: Enter last-known valuation as current price. Update the date in column G when you re-value. NFT values are subjective — mark with a note in column M to flag illiquid/manually-valued positions.</t>
  </si>
  <si>
    <t xml:space="preserve">📡  Live prices via GOOGLEFINANCE — Google Sheets only
In Google Sheets, replace column I with `=GOOGLEFINANCE(B&lt;row&gt;)` per position — refreshes every ~minute when the sheet is open (20-min delayed feed). For metals/crypto, use `=GOOGLEFINANCE("CURRENCY:XAUUSD")` for gold spot and `=GOOGLEFINANCE("CURRENCY:BTCUSD")` for BTC. Excel CANNOT pull live prices — this is by-design + disclosed in listing. Excel users: keep seed values, refresh manually monthly.</t>
  </si>
  <si>
    <t xml:space="preserve">💵 Cash &amp; FX Holdings</t>
  </si>
  <si>
    <t xml:space="preserve">BASE
USD</t>
  </si>
  <si>
    <t xml:space="preserve">Multi-currency cash positions. Live FX via GOOGLEFINANCE in Sheets. USD-equivalent column drives Holdings Master cash class.</t>
  </si>
  <si>
    <t xml:space="preserve">Multi-currency cash + FX</t>
  </si>
  <si>
    <t xml:space="preserve">Rate-to-USD shows how many USD one unit of this currency is worth. Update FX monthly or use =GOOGLEFINANCE("CURRENCY:EURUSD") in Sheets.</t>
  </si>
  <si>
    <t xml:space="preserve">Currency</t>
  </si>
  <si>
    <t xml:space="preserve">Account</t>
  </si>
  <si>
    <t xml:space="preserve">Balance</t>
  </si>
  <si>
    <t xml:space="preserve">Rate→USD</t>
  </si>
  <si>
    <t xml:space="preserve">Last Updated</t>
  </si>
  <si>
    <t xml:space="preserve">USD Equiv</t>
  </si>
  <si>
    <t xml:space="preserve">Notes</t>
  </si>
  <si>
    <t xml:space="preserve">USD</t>
  </si>
  <si>
    <t xml:space="preserve">Base currency</t>
  </si>
  <si>
    <t xml:space="preserve">EUR</t>
  </si>
  <si>
    <t xml:space="preserve">Other</t>
  </si>
  <si>
    <t xml:space="preserve">European Union</t>
  </si>
  <si>
    <t xml:space="preserve">GBP</t>
  </si>
  <si>
    <t xml:space="preserve">United Kingdom</t>
  </si>
  <si>
    <t xml:space="preserve">🌍  FX via GOOGLEFINANCE
In Google Sheets, replace column E with `=GOOGLEFINANCE("CURRENCY:EURUSD")` per row. Excel users update monthly — oanda.com or your bank's FX page. Pegged currencies (AED 0.2723, SAR 0.2667) rarely move; floaters move daily.</t>
  </si>
  <si>
    <t xml:space="preserve">📈 Stocks Tracker</t>
  </si>
  <si>
    <t xml:space="preserve">SHEET RULE
Monthly snapshot</t>
  </si>
  <si>
    <t xml:space="preserve">Per-ticker monthly price log. Dividend annotations on payment months. Ex-dividend date in column M.</t>
  </si>
  <si>
    <t xml:space="preserve">Monthly price log — last 12 months</t>
  </si>
  <si>
    <t xml:space="preserve">Enter end-of-month closing prices. Dividend payment months get a marker in the Notes column. Use this tab to backtest your conviction vs actual.</t>
  </si>
  <si>
    <t xml:space="preserve">VOO</t>
  </si>
  <si>
    <t xml:space="preserve">AAPL</t>
  </si>
  <si>
    <t xml:space="preserve">MSFT</t>
  </si>
  <si>
    <t xml:space="preserve">GOOGL</t>
  </si>
  <si>
    <t xml:space="preserve">SCHD</t>
  </si>
  <si>
    <t xml:space="preserve">VYM</t>
  </si>
  <si>
    <t xml:space="preserve">📈  Backtest your conviction
When you bought AAPL at $128, what was your thesis? Compare the 12-month price log to the assumptions you wrote down then. Position Health Check (AI Edition page 9) walks this discipline. Right-aligned tabular numerics let you scan a row at a glance.</t>
  </si>
  <si>
    <t xml:space="preserve">🗂️ ETFs &amp; Mutual Funds</t>
  </si>
  <si>
    <t xml:space="preserve">Expense ratio highlighted — pays for itself over time. Distribution badges on payment months. Look-through to top-10 holdings.</t>
  </si>
  <si>
    <t xml:space="preserve">ETF + Mutual Fund holdings</t>
  </si>
  <si>
    <t xml:space="preserve">Expense ratio (column F) compounds against you. Below 0.10% is excellent; above 0.75% is a yellow flag worth re-evaluating.</t>
  </si>
  <si>
    <t xml:space="preserve">Name</t>
  </si>
  <si>
    <t xml:space="preserve">Type</t>
  </si>
  <si>
    <t xml:space="preserve">Shares</t>
  </si>
  <si>
    <t xml:space="preserve">Cost/sh</t>
  </si>
  <si>
    <t xml:space="preserve">ER</t>
  </si>
  <si>
    <t xml:space="preserve">NAV</t>
  </si>
  <si>
    <t xml:space="preserve">Cost Basis</t>
  </si>
  <si>
    <t xml:space="preserve">Dist Yld</t>
  </si>
  <si>
    <t xml:space="preserve">Last Dist</t>
  </si>
  <si>
    <t xml:space="preserve">Vanguard Total Stock Market ETF</t>
  </si>
  <si>
    <t xml:space="preserve">ETF</t>
  </si>
  <si>
    <t xml:space="preserve">Vanguard S&amp;P 500 ETF</t>
  </si>
  <si>
    <t xml:space="preserve">Vanguard Total International ETF</t>
  </si>
  <si>
    <t xml:space="preserve">Schwab US Dividend Equity ETF</t>
  </si>
  <si>
    <t xml:space="preserve">Vanguard High Dividend Yield ETF</t>
  </si>
  <si>
    <t xml:space="preserve">VTSAX</t>
  </si>
  <si>
    <t xml:space="preserve">Vanguard Total Stock Mkt Index</t>
  </si>
  <si>
    <t xml:space="preserve">Mutual</t>
  </si>
  <si>
    <t xml:space="preserve">Dec</t>
  </si>
  <si>
    <t xml:space="preserve">Vanguard Total Bond Market ETF</t>
  </si>
  <si>
    <t xml:space="preserve">Monthly</t>
  </si>
  <si>
    <t xml:space="preserve">🔍  Look-through is the hidden concentration
VTI + VOO share 80-90% of their top-10 holdings. If you own both, ~40% of your portfolio is the same handful of mega-caps you bought twice. The AI Edition Look-Through Analyzer (page 6) calculates true exposure across funds.</t>
  </si>
  <si>
    <t xml:space="preserve">💰 Dividend Income Calendar</t>
  </si>
  <si>
    <t xml:space="preserve">12-month forward calendar. Cash-gap-month flag where projected income is significantly lower. Yield-on-cost in column N.</t>
  </si>
  <si>
    <t xml:space="preserve">Projected dividend income — next 12 months</t>
  </si>
  <si>
    <t xml:space="preserve">Per-payer × per-month $ projected. Cash-gap months show empty cells; the AI Dividend Optimizer prompt (page 8) suggests fills.</t>
  </si>
  <si>
    <t xml:space="preserve">Payer</t>
  </si>
  <si>
    <t xml:space="preserve">YTD Total</t>
  </si>
  <si>
    <t xml:space="preserve">VNQ</t>
  </si>
  <si>
    <t xml:space="preserve">Monthly Total</t>
  </si>
  <si>
    <t xml:space="preserve">📅  Cash-gap months are an optimization opportunity
Most US dividend payers cluster in Mar/Jun/Sep/Dec (quarterly cycle). Jan/Apr/Jul/Oct can be $0 — a cash-gap month. Adding a monthly-payer like O (Realty Income) or a BDC smooths the calendar. The AI Dividend Optimizer prompt (page 8) names safe candidates.</t>
  </si>
  <si>
    <t xml:space="preserve">📈 Asset Allocation</t>
  </si>
  <si>
    <t xml:space="preserve">CLASSES
10</t>
  </si>
  <si>
    <t xml:space="preserve">Current vs target across 10 asset classes. Drift indicators on slices &gt;5pp from target. Rebalancing actions list below the grid.</t>
  </si>
  <si>
    <t xml:space="preserve">Current vs target allocation — 10 asset classes</t>
  </si>
  <si>
    <t xml:space="preserve">Target % set in column E (editable). Drift = current minus target. ±2pp = mild; ±5pp = significant. Suggested rebalance moves below.</t>
  </si>
  <si>
    <t xml:space="preserve">Action</t>
  </si>
  <si>
    <t xml:space="preserve">Rebalance $</t>
  </si>
  <si>
    <t xml:space="preserve">Method</t>
  </si>
  <si>
    <t xml:space="preserve">Tax Cost</t>
  </si>
  <si>
    <t xml:space="preserve">⚖️  Contribution-rebalancing &gt; sell-rebalancing in taxable accounts
Selling appreciated taxable holdings realizes capital gains. Redirecting NEW contributions to underweight classes closes drift over 6-12 months with zero tax cost. The AI Allocation Advisor (page 3) names which moves to do this quarter vs which to defer.</t>
  </si>
  <si>
    <t xml:space="preserve">📊 Annual Summary</t>
  </si>
  <si>
    <t xml:space="preserve">Year-end snapshot — total return / dividends / realized gains-losses / contributions. Best + worst position callouts.</t>
  </si>
  <si>
    <t xml:space="preserve">Monthly contributions + realized P&amp;L log</t>
  </si>
  <si>
    <t xml:space="preserve">Per-month log: contributions (new $), withdrawals, realized gain/loss from sells. Feeds the Quarterly Review AI prompt.</t>
  </si>
  <si>
    <t xml:space="preserve">Month</t>
  </si>
  <si>
    <t xml:space="preserve">Portfolio $</t>
  </si>
  <si>
    <t xml:space="preserve">Contributions</t>
  </si>
  <si>
    <t xml:space="preserve">Withdrawals</t>
  </si>
  <si>
    <t xml:space="preserve">Realized G/L</t>
  </si>
  <si>
    <t xml:space="preserve">Dividends</t>
  </si>
  <si>
    <t xml:space="preserve">Fees</t>
  </si>
  <si>
    <t xml:space="preserve">MoM Δ</t>
  </si>
  <si>
    <t xml:space="preserve">YoY Δ</t>
  </si>
  <si>
    <t xml:space="preserve">📅  Year-end review uses this tab
The AI Quarterly Portfolio Review prompt (page 10) reads this tab. Hand-fill contributions monthly; the rest auto-populates from Holdings Master + Dividend Calendar. Realized G/L is manual — log on the month you executed the trade, not when you booked the loss.</t>
  </si>
  <si>
    <t xml:space="preserve">💵 Bonds &amp; Fixed Income</t>
  </si>
  <si>
    <t xml:space="preserve">Government / corporate / municipal bonds + CDs + Treasury bills. Maturity calendar + coupon schedule + YTM.</t>
  </si>
  <si>
    <t xml:space="preserve">Bond ladder + fixed-income holdings</t>
  </si>
  <si>
    <t xml:space="preserve">Per-bond: issuer + type + principal + coupon + maturity + YTM. Maturity calendar visualizes when each instrument matures.</t>
  </si>
  <si>
    <t xml:space="preserve">Bond/CD</t>
  </si>
  <si>
    <t xml:space="preserve">Issuer</t>
  </si>
  <si>
    <t xml:space="preserve">Principal</t>
  </si>
  <si>
    <t xml:space="preserve">Coupon Rate</t>
  </si>
  <si>
    <t xml:space="preserve">Maturity</t>
  </si>
  <si>
    <t xml:space="preserve">Coupon $/yr</t>
  </si>
  <si>
    <t xml:space="preserve">Curr Price</t>
  </si>
  <si>
    <t xml:space="preserve">YTM</t>
  </si>
  <si>
    <t xml:space="preserve">Vanguard Bond Index</t>
  </si>
  <si>
    <t xml:space="preserve">401k</t>
  </si>
  <si>
    <t xml:space="preserve">CD-1Y</t>
  </si>
  <si>
    <t xml:space="preserve">CD</t>
  </si>
  <si>
    <t xml:space="preserve">Marcus by Goldman</t>
  </si>
  <si>
    <t xml:space="preserve">T-Bill</t>
  </si>
  <si>
    <t xml:space="preserve">Treasury</t>
  </si>
  <si>
    <t xml:space="preserve">US Treasury 13-wk</t>
  </si>
  <si>
    <t xml:space="preserve">📅  Maturity calendar — when does cash come back?
Bonds + CDs are predictable cash-return events. Logging maturity dates lets you plan reinvestment + match cash availability to upcoming expenses. T-bills + short CDs are a yield-plus-liquidity ladder during high-rate cycles.</t>
  </si>
  <si>
    <t xml:space="preserve">🥇 Precious Metals</t>
  </si>
  <si>
    <t xml:space="preserve">Gold / Silver / Platinum / Palladium. Spot price via GOOGLEFINANCE in Sheets. Storage + insurance tracked.</t>
  </si>
  <si>
    <t xml:space="preserve">Precious metals holdings</t>
  </si>
  <si>
    <t xml:space="preserve">Spot price refreshes in Sheets via GOOGLEFINANCE. Insured? helps with theft-loss casualty deduction case (consult a CPA).</t>
  </si>
  <si>
    <t xml:space="preserve">Metal</t>
  </si>
  <si>
    <t xml:space="preserve">Form</t>
  </si>
  <si>
    <t xml:space="preserve">Ounces</t>
  </si>
  <si>
    <t xml:space="preserve">Cost/oz</t>
  </si>
  <si>
    <t xml:space="preserve">Cost basis</t>
  </si>
  <si>
    <t xml:space="preserve">Spot/oz</t>
  </si>
  <si>
    <t xml:space="preserve">Gain/Loss</t>
  </si>
  <si>
    <t xml:space="preserve">YTD %</t>
  </si>
  <si>
    <t xml:space="preserve">Storage</t>
  </si>
  <si>
    <t xml:space="preserve">Insured</t>
  </si>
  <si>
    <t xml:space="preserve">Gold</t>
  </si>
  <si>
    <t xml:space="preserve">Coins/Bars</t>
  </si>
  <si>
    <t xml:space="preserve">Bank Safe Dep Box</t>
  </si>
  <si>
    <t xml:space="preserve">✓</t>
  </si>
  <si>
    <t xml:space="preserve">Silver</t>
  </si>
  <si>
    <t xml:space="preserve">Coins</t>
  </si>
  <si>
    <t xml:space="preserve">Home Safe</t>
  </si>
  <si>
    <t xml:space="preserve">Platinum</t>
  </si>
  <si>
    <t xml:space="preserve">Bars</t>
  </si>
  <si>
    <t xml:space="preserve">Palladium</t>
  </si>
  <si>
    <t xml:space="preserve">🥇  Spot via GOOGLEFINANCE
Gold: `=GOOGLEFINANCE("CURRENCY:XAUUSD")`. Silver: `=GOOGLEFINANCE("CURRENCY:XAGUSD")`. Platinum: XPTUSD. Palladium: XPDUSD. Excel users update monthly from kitco.com. Insurance + storage tracked here because metals are uninsured by default and the casualty-loss tax case requires it.</t>
  </si>
  <si>
    <t xml:space="preserve">💎 Crypto Tracker</t>
  </si>
  <si>
    <t xml:space="preserve">BTC / ETH / altcoins per exchange + wallet. Anonymized-by-default label option (no exchange names in screenshots).</t>
  </si>
  <si>
    <t xml:space="preserve">Crypto holdings — exchange + wallet location</t>
  </si>
  <si>
    <t xml:space="preserve">Anonymize column J ("Exchange 1" / "Wallet A") if you screenshot. Cold-wallet flag in column L = self-custody (hardware wallet or paper).</t>
  </si>
  <si>
    <t xml:space="preserve">Coin</t>
  </si>
  <si>
    <t xml:space="preserve">Network</t>
  </si>
  <si>
    <t xml:space="preserve">Quantity</t>
  </si>
  <si>
    <t xml:space="preserve">Cost/coin</t>
  </si>
  <si>
    <t xml:space="preserve">Current value</t>
  </si>
  <si>
    <t xml:space="preserve">% Portfolio</t>
  </si>
  <si>
    <t xml:space="preserve">Exchange/Wallet</t>
  </si>
  <si>
    <t xml:space="preserve">Cold?</t>
  </si>
  <si>
    <t xml:space="preserve">BTC</t>
  </si>
  <si>
    <t xml:space="preserve">Bitcoin</t>
  </si>
  <si>
    <t xml:space="preserve">Exchange 1</t>
  </si>
  <si>
    <t xml:space="preserve">ETH</t>
  </si>
  <si>
    <t xml:space="preserve">Ethereum</t>
  </si>
  <si>
    <t xml:space="preserve">Cold Wallet</t>
  </si>
  <si>
    <t xml:space="preserve">SOL</t>
  </si>
  <si>
    <t xml:space="preserve">Solana</t>
  </si>
  <si>
    <t xml:space="preserve">Stablecoins (USDC, USDT, DAI) = enter price $1.00, asset class 'Cash'. Volatile crypto (BTC, ETH, SOL) carries significant risk. Staking rewards = taxable income in most jurisdictions — consult a tax advisor.</t>
  </si>
  <si>
    <t xml:space="preserve">🔐  Cold wallet = self-custody. Hot wallet = exchange-held
Crypto held on exchanges (Coinbase, Binance, Kraken) = "hot" — you don't actually own the private keys, the exchange does. Cold wallet (Ledger / Trezor / paper) = you hold the keys. After FTX 2022, the rule "not your keys, not your coins" became conventional wisdom. Cold-flag column tracks which is which.</t>
  </si>
  <si>
    <t xml:space="preserve">🏢 REITs Tracker</t>
  </si>
  <si>
    <t xml:space="preserve">REIT-specific: FFO (vs EPS), sector breakdown, dividend yield. Non-qualified dividends best held in Roth IRA.</t>
  </si>
  <si>
    <t xml:space="preserve">REIT holdings + sector breakdown</t>
  </si>
  <si>
    <t xml:space="preserve">FFO (Funds From Operations) is the REIT P/E equivalent. Sectors: Industrial, Residential, Healthcare, Office, Data Center, Retail, Specialty.</t>
  </si>
  <si>
    <t xml:space="preserve">Sector</t>
  </si>
  <si>
    <t xml:space="preserve">Price</t>
  </si>
  <si>
    <t xml:space="preserve">Yield</t>
  </si>
  <si>
    <t xml:space="preserve">FFO/sh</t>
  </si>
  <si>
    <t xml:space="preserve">Vanguard Real Estate ETF</t>
  </si>
  <si>
    <t xml:space="preserve">Diversified</t>
  </si>
  <si>
    <t xml:space="preserve">O</t>
  </si>
  <si>
    <t xml:space="preserve">Realty Income Corp</t>
  </si>
  <si>
    <t xml:space="preserve">Retail (Net Lease)</t>
  </si>
  <si>
    <t xml:space="preserve">PLD</t>
  </si>
  <si>
    <t xml:space="preserve">Prologis Inc</t>
  </si>
  <si>
    <t xml:space="preserve">Industrial</t>
  </si>
  <si>
    <t xml:space="preserve">🏢  REIT placement matters more than yield-chase
REIT dividends are NON-qualified — taxed as ordinary income at your marginal rate (24-37% federal + state). Same yield in a Roth IRA = tax-free forever. The AI Dividend Income Optimizer (page 8) flags this misplacement specifically.</t>
  </si>
  <si>
    <t xml:space="preserve">🎁 Options &amp; RSUs</t>
  </si>
  <si>
    <t xml:space="preserve">Equity comp tracker. Strike/expiry/delta for options. Vesting calendar for RSUs. Concentration alert ribbon when employer stock exceeds 10% of portfolio.</t>
  </si>
  <si>
    <t xml:space="preserve">Options grants</t>
  </si>
  <si>
    <t xml:space="preserve">Calls + puts + warrants. Delta = $ change per $1 underlying move. Expiry watch in column H.</t>
  </si>
  <si>
    <t xml:space="preserve">Strike</t>
  </si>
  <si>
    <t xml:space="preserve">Contracts</t>
  </si>
  <si>
    <t xml:space="preserve">Delta</t>
  </si>
  <si>
    <t xml:space="preserve">Expiry</t>
  </si>
  <si>
    <t xml:space="preserve">Days Left</t>
  </si>
  <si>
    <t xml:space="preserve">RSU + ESPP vesting calendar</t>
  </si>
  <si>
    <t xml:space="preserve">Per-grant rows × per-vest-date columns. Vested becomes employer-stock concentration; unvested is future taxable income.</t>
  </si>
  <si>
    <t xml:space="preserve">Grant Date</t>
  </si>
  <si>
    <t xml:space="preserve">Grant $</t>
  </si>
  <si>
    <t xml:space="preserve">Vest Schedule</t>
  </si>
  <si>
    <t xml:space="preserve">Next Vest</t>
  </si>
  <si>
    <t xml:space="preserve"># Vested</t>
  </si>
  <si>
    <t xml:space="preserve">Vested $</t>
  </si>
  <si>
    <t xml:space="preserve">Unvested $</t>
  </si>
  <si>
    <t xml:space="preserve">Lockup End</t>
  </si>
  <si>
    <t xml:space="preserve">Sell Plan</t>
  </si>
  <si>
    <t xml:space="preserve">TECH</t>
  </si>
  <si>
    <t xml:space="preserve">RSU</t>
  </si>
  <si>
    <t xml:space="preserve">4-yr cliff+vest</t>
  </si>
  <si>
    <t xml:space="preserve">Sell on vest</t>
  </si>
  <si>
    <t xml:space="preserve">ESPP</t>
  </si>
  <si>
    <t xml:space="preserve">6-mo offering</t>
  </si>
  <si>
    <t xml:space="preserve">N/A</t>
  </si>
  <si>
    <t xml:space="preserve">Sell at end of offering</t>
  </si>
  <si>
    <t xml:space="preserve">🎯  Default policy: sell on vest
RSU compensation already gives you the employer-stock exposure. Holding past vest is voluntary additional concentration on top of compensation. The "wait for LTCG" temptation usually costs more than the LTCG tax differential (1 year of volatility risk on a single-name concentration). Concentration Risk Alerter (page 5) walks the math.</t>
  </si>
  <si>
    <t xml:space="preserve">📊 Performance &amp; Returns</t>
  </si>
  <si>
    <t xml:space="preserve">BENCHMARK
S&amp;P 500</t>
  </si>
  <si>
    <t xml:space="preserve">TWR vs benchmark + MWR table. CAGR over 1yr / 3yr / 5yr / 10yr / since-inception. Custom benchmark configurable.</t>
  </si>
  <si>
    <t xml:space="preserve">Multi-horizon returns</t>
  </si>
  <si>
    <t xml:space="preserve">TWR = Time-Weighted Return (compares vs index, ignores contribution timing). MWR = Money-Weighted Return (IRR, includes contributions).</t>
  </si>
  <si>
    <t xml:space="preserve">Metric</t>
  </si>
  <si>
    <t xml:space="preserve">1 Yr</t>
  </si>
  <si>
    <t xml:space="preserve">3 Yr CAGR</t>
  </si>
  <si>
    <t xml:space="preserve">5 Yr CAGR</t>
  </si>
  <si>
    <t xml:space="preserve">10 Yr CAGR</t>
  </si>
  <si>
    <t xml:space="preserve">YTD</t>
  </si>
  <si>
    <t xml:space="preserve">Inception</t>
  </si>
  <si>
    <t xml:space="preserve">MWR (IRR)</t>
  </si>
  <si>
    <t xml:space="preserve">Your Portfolio (TWR)</t>
  </si>
  <si>
    <t xml:space="preserve">S&amp;P 500 (benchmark)</t>
  </si>
  <si>
    <t xml:space="preserve">MSCI World</t>
  </si>
  <si>
    <t xml:space="preserve">60/40 Stocks/Bonds</t>
  </si>
  <si>
    <t xml:space="preserve">Outperformance vs S&amp;P 500</t>
  </si>
  <si>
    <t xml:space="preserve">📐  TWR vs MWR — they answer different questions
TWR strips out contribution timing — best for comparing investment SKILL against an index. MWR (IRR) includes contributions — best for "how did MY money actually grow?" If TWR &gt; MWR, you contributed during dips. If TWR &lt; MWR, you contributed during rallies. Both numbers are honest.</t>
  </si>
  <si>
    <t xml:space="preserve">📐 Risk Metrics</t>
  </si>
  <si>
    <t xml:space="preserve">RISK-FREE
4.5% (10yr UST)</t>
  </si>
  <si>
    <t xml:space="preserve">Sharpe / Beta / Max Drawdown / Volatility — the numbers Sharesight charges $96/year for. Computed from your monthly returns.</t>
  </si>
  <si>
    <t xml:space="preserve">Four core risk metrics</t>
  </si>
  <si>
    <t xml:space="preserve">Each card shows the metric + sector benchmark + plain-English interpretation.</t>
  </si>
  <si>
    <t xml:space="preserve">Sharpe Ratio</t>
  </si>
  <si>
    <t xml:space="preserve">Beta</t>
  </si>
  <si>
    <t xml:space="preserve">Benchmark: S&amp;P 500 ~0.85</t>
  </si>
  <si>
    <t xml:space="preserve">Benchmark: 1.0 = matches market</t>
  </si>
  <si>
    <t xml:space="preserve">&gt;1.0 = strong risk-adjusted return. &lt;0.5 = under-compensated for volatility.</t>
  </si>
  <si>
    <t xml:space="preserve">Your portfolio moves ~5% more than S&amp;P 500 on big swings. Elevated tech weighting.</t>
  </si>
  <si>
    <t xml:space="preserve">Max Drawdown</t>
  </si>
  <si>
    <t xml:space="preserve">Annualized Vol</t>
  </si>
  <si>
    <t xml:space="preserve">Benchmark: S&amp;P 2020: -34%; 2022: -25%</t>
  </si>
  <si>
    <t xml:space="preserve">Benchmark: S&amp;P 500 long-run ~0.16</t>
  </si>
  <si>
    <t xml:space="preserve">Largest peak-to-trough loss in the period. -18.4% would scare some investors out.</t>
  </si>
  <si>
    <t xml:space="preserve">Std dev of monthly returns × √12. Slightly below market — diversification working.</t>
  </si>
  <si>
    <t xml:space="preserve">📐  Real metrics, simple math
Sharpe = (portfolio return - risk-free rate) / std dev of returns. Beta = covariance vs benchmark / variance of benchmark. Max Drawdown = (trough - peak) / peak from your monthly NAV log. Volatility = stdev of monthly returns × sqrt(12). Same formulas Sharesight + Stock Rover use — we just show them in cells you can verify.</t>
  </si>
  <si>
    <t xml:space="preserve">🧾 Tax Lot Tracker</t>
  </si>
  <si>
    <t xml:space="preserve">METHOD
FIFO/LIFO/Spec</t>
  </si>
  <si>
    <t xml:space="preserve">Per-lot cost basis. Short-term vs long-term color-coded. Region toggle (US/UK/EU/AU/CA — AI Edition only).</t>
  </si>
  <si>
    <t xml:space="preserve">Per-lot cost basis log</t>
  </si>
  <si>
    <t xml:space="preserve">Required for accurate cost basis on partial sells. FIFO = sell oldest lots first (default for most brokers); Spec = pick which lot.</t>
  </si>
  <si>
    <t xml:space="preserve">Acquired</t>
  </si>
  <si>
    <t xml:space="preserve">Curr Value</t>
  </si>
  <si>
    <t xml:space="preserve">Holding</t>
  </si>
  <si>
    <t xml:space="preserve">Unrealized</t>
  </si>
  <si>
    <t xml:space="preserve">G/L Type</t>
  </si>
  <si>
    <t xml:space="preserve">Lot ID</t>
  </si>
  <si>
    <t xml:space="preserve">🧾  Specific-lot selection saves taxes on partial sells
Default broker behavior is FIFO (sell oldest lots first). But "specific lot" lets you pick — e.g., when raising cash from VTI, sell the HIGHEST-cost-basis lot to minimize realized gain. Most brokers allow this if you specify at the time of sale; document the lot ID in column L when you do.</t>
  </si>
  <si>
    <t xml:space="preserve">📉 Tax-Loss Harvesting</t>
  </si>
  <si>
    <t xml:space="preserve">STCG OFFSET
$3K/yr cap</t>
  </si>
  <si>
    <t xml:space="preserve">Eligible positions with unrealized losses. Wash-sale window (30-day pre + post) check. Suggested replacement security per position.</t>
  </si>
  <si>
    <t xml:space="preserve">Tax-loss harvesting candidates</t>
  </si>
  <si>
    <t xml:space="preserve">Positions with unrealized losses. Wash-sale check looks at any same-or-substantially-identical buy in last 30 days (or planned next 30) across ALL accounts including spouse + IRA.</t>
  </si>
  <si>
    <t xml:space="preserve">Loss $</t>
  </si>
  <si>
    <t xml:space="preserve">Loss %</t>
  </si>
  <si>
    <t xml:space="preserve">Wash Window</t>
  </si>
  <si>
    <t xml:space="preserve">Replacement</t>
  </si>
  <si>
    <t xml:space="preserve">Tax Save</t>
  </si>
  <si>
    <t xml:space="preserve">Priority</t>
  </si>
  <si>
    <t xml:space="preserve">✓ Clear</t>
  </si>
  <si>
    <t xml:space="preserve">AGG or SCHZ</t>
  </si>
  <si>
    <t xml:space="preserve">Low — small $</t>
  </si>
  <si>
    <t xml:space="preserve">🔴 BLOCKED 22 days</t>
  </si>
  <si>
    <t xml:space="preserve">IXUS (still wash-risk)</t>
  </si>
  <si>
    <t xml:space="preserve">🔴 Wash via IRA</t>
  </si>
  <si>
    <t xml:space="preserve">ARKK</t>
  </si>
  <si>
    <t xml:space="preserve">QQQ or XLK</t>
  </si>
  <si>
    <t xml:space="preserve">HIGH — clean window</t>
  </si>
  <si>
    <t xml:space="preserve">⚠️  Wash-sale rule applies across ALL accounts — including spouse + IRA
If you sell at a loss in taxable AND your IRA bought the same security in last 30 days (or next 30), the IRS DISALLOWS the loss permanently — and your IRA cost basis is NOT adjusted. This is the most common TLH mistake. AI Tax-Loss Harvesting Scout (page 4) walks every recent buy across every account before recommending the sell.</t>
  </si>
  <si>
    <t xml:space="preserve">🎯 Scenario Simulator</t>
  </si>
  <si>
    <t xml:space="preserve">RETURN ASS
6% real</t>
  </si>
  <si>
    <t xml:space="preserve">Drop X%? Add Y$/mo? Instant impact + recovery timeline. Same logic the AI Market Scenario Analyst uses (page 7).</t>
  </si>
  <si>
    <t xml:space="preserve">Scenario</t>
  </si>
  <si>
    <t xml:space="preserve">Moderate correction (-20%)</t>
  </si>
  <si>
    <t xml:space="preserve">Scenario impact + recovery timeline</t>
  </si>
  <si>
    <t xml:space="preserve">Post-shock value</t>
  </si>
  <si>
    <t xml:space="preserve">$ impact</t>
  </si>
  <si>
    <t xml:space="preserve">% impact</t>
  </si>
  <si>
    <t xml:space="preserve">Recovery time (months)</t>
  </si>
  <si>
    <t xml:space="preserve">New monthly contribution</t>
  </si>
  <si>
    <t xml:space="preserve">FIRE delay (months)</t>
  </si>
  <si>
    <t xml:space="preserve">Recommended action</t>
  </si>
  <si>
    <t xml:space="preserve">🎯  Scenarios condition, they don't predict
A scenario isn't a forecast — it's a "what if this happens?" pre-commit. The value of running scenarios BEFORE the next correction is so you don't make panic-decisions in the middle of one. The most common wealth-destroyer in retail investing is capitulation selling at -40 to -50% drawdown — investors who pre-committed to "stay invested through -50%" hold; investors who didn't, sell.</t>
  </si>
  <si>
    <t xml:space="preserve">ℹ️ About &amp; Help</t>
  </si>
  <si>
    <t xml:space="preserve">VERSION
1.0</t>
  </si>
  <si>
    <t xml:space="preserve">TABS
19</t>
  </si>
  <si>
    <t xml:space="preserve">ASSET CLASSES
10</t>
  </si>
  <si>
    <t xml:space="preserve">AI PROMPTS
0</t>
  </si>
  <si>
    <t xml:space="preserve">TIER
Pro</t>
  </si>
  <si>
    <t xml:space="preserve">UPDATES
Bug fixes free</t>
  </si>
  <si>
    <t xml:space="preserve">Welcome — quick answers to the questions buyers ask first.</t>
  </si>
  <si>
    <t xml:space="preserve">Welcome to your Investment Portfolio Tracker.</t>
  </si>
  <si>
    <t xml:space="preserve">A bloomberg-terminal-discipline portfolio sheet — 10 asset classes, GOOGLEFINANCE live prices, real Sharpe/beta/max-drawdown, wash-sale-safe tax-loss harvesting. Privacy-first.</t>
  </si>
  <si>
    <t xml:space="preserve">How this spreadsheet is wired</t>
  </si>
  <si>
    <t xml:space="preserve">Holdings Master is the single input. Dashboard + every analytics tab pulls from it.</t>
  </si>
  <si>
    <t xml:space="preserve">60 positions across 10 asset classes + 8 account types. Live Price (col I) via =GOOGLEFINANCE(B&lt;row&gt;) in Sheets.</t>
  </si>
  <si>
    <t xml:space="preserve">Asset allocation donut · top-5 holdings · 24-mo trajectory · dividend calendar · drift alerts.</t>
  </si>
  <si>
    <t xml:space="preserve">Multi-currency cash positions. FX via =GOOGLEFINANCE("CURRENCY:EURUSD") in Sheets.</t>
  </si>
  <si>
    <t xml:space="preserve">Per-ticker monthly price log. Backtest your conviction against actual returns.</t>
  </si>
  <si>
    <t xml:space="preserve">Expense ratio highlighted. Distribution + NAV log. Anti-overlap framing.</t>
  </si>
  <si>
    <t xml:space="preserve">12-month forward calendar. Cash-gap month flag for the AI Dividend Optimizer prompt.</t>
  </si>
  <si>
    <t xml:space="preserve">Current vs target across 10 classes. Drift indicators ±5pp. Rebalancing actions list.</t>
  </si>
  <si>
    <t xml:space="preserve">Year-end snapshot — total return, dividends, realized G/L, contributions.</t>
  </si>
  <si>
    <t xml:space="preserve">💵 Bonds &amp; Fixed Income (Pro)</t>
  </si>
  <si>
    <t xml:space="preserve">Maturity calendar + YTM + coupon schedule. T-bills, CDs, corp/muni bonds.</t>
  </si>
  <si>
    <t xml:space="preserve">🥇 Precious Metals (Pro)</t>
  </si>
  <si>
    <t xml:space="preserve">Gold/Silver/Platinum/Palladium with spot via GOOGLEFINANCE("CURRENCY:XAUUSD").</t>
  </si>
  <si>
    <t xml:space="preserve">💎 Crypto Tracker (Pro)</t>
  </si>
  <si>
    <t xml:space="preserve">BTC/ETH/altcoins per exchange + wallet. Cold-wallet flag for self-custody.</t>
  </si>
  <si>
    <t xml:space="preserve">🏢 REITs Tracker (Pro)</t>
  </si>
  <si>
    <t xml:space="preserve">FFO column (REIT-specific). Sector breakdown. Roth-placement warning.</t>
  </si>
  <si>
    <t xml:space="preserve">🎁 Options &amp; RSUs (Pro)</t>
  </si>
  <si>
    <t xml:space="preserve">Strike/expiry/delta + vesting calendar. Concentration alert &gt;10% employer stock.</t>
  </si>
  <si>
    <t xml:space="preserve">📊 Performance &amp; Returns (Pro)</t>
  </si>
  <si>
    <t xml:space="preserve">TWR vs benchmark, MWR, CAGR 1/3/5/10yr/inception.</t>
  </si>
  <si>
    <t xml:space="preserve">📐 Risk Metrics (Pro)</t>
  </si>
  <si>
    <t xml:space="preserve">Sharpe / Beta / Max Drawdown / Annualized Volatility — the numbers Sharesight charges $96/yr for.</t>
  </si>
  <si>
    <t xml:space="preserve">🧾 Tax Lot Tracker (Pro)</t>
  </si>
  <si>
    <t xml:space="preserve">Per-lot cost basis. Short-term vs long-term color-coded. Region toggle.</t>
  </si>
  <si>
    <t xml:space="preserve">📉 Tax-Loss Harvesting (Pro)</t>
  </si>
  <si>
    <t xml:space="preserve">Eligible positions + wash-sale window + suggested replacement.</t>
  </si>
  <si>
    <t xml:space="preserve">🎯 Scenario Simulator (Pro)</t>
  </si>
  <si>
    <t xml:space="preserve">Drop X%? Add $Y/mo? Impact + recovery timeline.</t>
  </si>
  <si>
    <t xml:space="preserve">🤖 AI Portfolio Intelligence (AI)</t>
  </si>
  <si>
    <t xml:space="preserve">8 prompts: Allocation · Tax-Loss · Concentration · Look-Through · Scenario · Dividend · Position · Quarterly.</t>
  </si>
  <si>
    <t xml:space="preserve">Quick FAQ</t>
  </si>
  <si>
    <t xml:space="preserve">Does this work in Excel?</t>
  </si>
  <si>
    <t xml:space="preserve">No. Google Sheets only. GOOGLEFINANCE is Sheets-exclusive — Excel cannot pull live prices, FX rates, or metals spot. We're transparent about this on the listing.</t>
  </si>
  <si>
    <t xml:space="preserve">How is "live" pricing actually live?</t>
  </si>
  <si>
    <t xml:space="preserve">GOOGLEFINANCE pulls with a 20-minute delay during market hours and updates approximately every minute when the sheet is open. Same delayed feed retail tools use (Yahoo Finance, Bloomberg retail tier).</t>
  </si>
  <si>
    <t xml:space="preserve">Does it connect to my brokerage?</t>
  </si>
  <si>
    <t xml:space="preserve">No. That's the privacy gate. You enter positions manually — ticker + shares + cost basis + account location. Sharesight/Empower/Kubera require some Plaid-like integration; we don't.</t>
  </si>
  <si>
    <t xml:space="preserve">How is this different from Sharesight, Stock Rover, Kubera?</t>
  </si>
  <si>
    <t xml:space="preserve">(1) Price — $17-$34 once vs $96-$300/year forever. Sharesight + Stock Rover + Kubera combined = $596/year. Over 5 years that's $2,980 vs $34. (2) Privacy — no broker linking. (3) Depth — 10 asset classes including options/RSUs. (4) Custom — full spreadsheet control.</t>
  </si>
  <si>
    <t xml:space="preserve">How many positions can I track?</t>
  </si>
  <si>
    <t xml:space="preserve">Essentials supports up to 30 positions. Pro and AI Edition support up to 60. If you have more than 60 positions, contact us — we'll send a custom version (free for AI Edition buyers).</t>
  </si>
  <si>
    <t xml:space="preserve">Are Sharpe / Beta / Max Drawdown real or simplified?</t>
  </si>
  <si>
    <t xml:space="preserve">Real (Pro+). Sharpe uses your portfolio's returns vs risk-free rate (10-yr UST) and stdev. Beta is calculated against your benchmark (S&amp;P 500 default; configurable). Same formulas Sharesight + Stock Rover use — we show them in cells you can verify.</t>
  </si>
  <si>
    <t xml:space="preserve">Tax-Loss Harvesting — does it execute trades for me?</t>
  </si>
  <si>
    <t xml:space="preserve">No (privacy + control). It surfaces opportunities. The Tax-Loss Harvesting tab tracks per-position basis vs current value, flags positions with unrealized losses, and shows the wash-sale window. YOU execute trades at your broker.</t>
  </si>
  <si>
    <t xml:space="preserve">Do I need ChatGPT Plus or Claude Pro for AI features?</t>
  </si>
  <si>
    <t xml:space="preserve">No. The 8 prompts work in ChatGPT free + Claude free. Paste prompt + your data into your own AI. The spreadsheet sends nothing.</t>
  </si>
</sst>
</file>

<file path=xl/styles.xml><?xml version="1.0" encoding="utf-8"?>
<styleSheet xmlns="http://schemas.openxmlformats.org/spreadsheetml/2006/main">
  <numFmts count="19">
    <numFmt numFmtId="164" formatCode="General"/>
    <numFmt numFmtId="165" formatCode="\$#,##0"/>
    <numFmt numFmtId="166" formatCode="0.0%"/>
    <numFmt numFmtId="167" formatCode="\+0.0%;\-0.0%;0.0%"/>
    <numFmt numFmtId="168" formatCode="#,##0.0000"/>
    <numFmt numFmtId="169" formatCode="\$#,##0.00"/>
    <numFmt numFmtId="170" formatCode="mmm\ d&quot;, &quot;yyyy"/>
    <numFmt numFmtId="171" formatCode="&quot;+$&quot;#,##0;&quot;-$&quot;#,##0;\$0"/>
    <numFmt numFmtId="172" formatCode="#,##0.00"/>
    <numFmt numFmtId="173" formatCode="0.0000"/>
    <numFmt numFmtId="174" formatCode="0.00%"/>
    <numFmt numFmtId="175" formatCode="\$#,##0;;&quot;&quot;"/>
    <numFmt numFmtId="176" formatCode="&quot;-$&quot;#,##0;\$#,##0;&quot;&quot;"/>
    <numFmt numFmtId="177" formatCode="0.000%"/>
    <numFmt numFmtId="178" formatCode="0.00"/>
    <numFmt numFmtId="179" formatCode="#,##0.000000"/>
    <numFmt numFmtId="180" formatCode="#,##0"/>
    <numFmt numFmtId="181" formatCode="#,##0&quot; days&quot;"/>
    <numFmt numFmtId="182" formatCode="@"/>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Inter"/>
      <family val="0"/>
      <charset val="1"/>
    </font>
    <font>
      <b val="true"/>
      <sz val="12"/>
      <color rgb="FFFFFFFF"/>
      <name val="Inter"/>
      <family val="0"/>
      <charset val="1"/>
    </font>
    <font>
      <sz val="10"/>
      <color rgb="FFE3C683"/>
      <name val="Inter"/>
      <family val="0"/>
      <charset val="1"/>
    </font>
    <font>
      <b val="true"/>
      <sz val="11"/>
      <color rgb="FF1F2A33"/>
      <name val="Inter"/>
      <family val="0"/>
      <charset val="1"/>
    </font>
    <font>
      <i val="true"/>
      <sz val="10"/>
      <color rgb="FFFFFFFF"/>
      <name val="Inter"/>
      <family val="0"/>
      <charset val="1"/>
    </font>
    <font>
      <i val="true"/>
      <sz val="10"/>
      <color rgb="FF666666"/>
      <name val="Inter"/>
      <family val="0"/>
      <charset val="1"/>
    </font>
    <font>
      <b val="true"/>
      <sz val="13"/>
      <color rgb="FF1F2A33"/>
      <name val="Inter"/>
      <family val="0"/>
      <charset val="1"/>
    </font>
    <font>
      <b val="true"/>
      <sz val="11"/>
      <color rgb="FFC9A14A"/>
      <name val="Inter"/>
      <family val="0"/>
      <charset val="1"/>
    </font>
    <font>
      <sz val="11"/>
      <color rgb="FF1F2A33"/>
      <name val="Inter"/>
      <family val="0"/>
      <charset val="1"/>
    </font>
    <font>
      <i val="true"/>
      <sz val="9"/>
      <color rgb="FF888888"/>
      <name val="Inter"/>
      <family val="0"/>
      <charset val="1"/>
    </font>
    <font>
      <i val="true"/>
      <sz val="11"/>
      <color rgb="FFC9A14A"/>
      <name val="Inter"/>
      <family val="0"/>
      <charset val="1"/>
    </font>
    <font>
      <b val="true"/>
      <sz val="11"/>
      <color rgb="FF3F6B4D"/>
      <name val="Inter"/>
      <family val="0"/>
      <charset val="1"/>
    </font>
    <font>
      <b val="true"/>
      <sz val="11"/>
      <color rgb="FFE3C683"/>
      <name val="Inter"/>
      <family val="0"/>
      <charset val="1"/>
    </font>
    <font>
      <sz val="10"/>
      <name val="Arial"/>
      <family val="2"/>
    </font>
    <font>
      <sz val="11"/>
      <color rgb="FFC9A14A"/>
      <name val="Inter"/>
      <family val="0"/>
      <charset val="1"/>
    </font>
    <font>
      <sz val="11"/>
      <color rgb="FF9B3A30"/>
      <name val="Inter"/>
      <family val="0"/>
      <charset val="1"/>
    </font>
    <font>
      <b val="true"/>
      <sz val="11"/>
      <color rgb="FFB57A2A"/>
      <name val="Inter"/>
      <family val="0"/>
      <charset val="1"/>
    </font>
    <font>
      <b val="true"/>
      <sz val="44"/>
      <color rgb="FF1F2A33"/>
      <name val="Inter"/>
      <family val="0"/>
      <charset val="1"/>
    </font>
    <font>
      <i val="true"/>
      <sz val="10"/>
      <color rgb="FFC9A14A"/>
      <name val="Inter"/>
      <family val="0"/>
      <charset val="1"/>
    </font>
    <font>
      <b val="true"/>
      <sz val="28"/>
      <color rgb="FF1F2A33"/>
      <name val="Inter"/>
      <family val="0"/>
      <charset val="1"/>
    </font>
  </fonts>
  <fills count="8">
    <fill>
      <patternFill patternType="none"/>
    </fill>
    <fill>
      <patternFill patternType="gray125"/>
    </fill>
    <fill>
      <patternFill patternType="solid">
        <fgColor rgb="FF1F2A33"/>
        <bgColor rgb="FF333300"/>
      </patternFill>
    </fill>
    <fill>
      <patternFill patternType="solid">
        <fgColor rgb="FFFFFFFF"/>
        <bgColor rgb="FFFAF7F0"/>
      </patternFill>
    </fill>
    <fill>
      <patternFill patternType="solid">
        <fgColor rgb="FFC9A14A"/>
        <bgColor rgb="FFB57A2A"/>
      </patternFill>
    </fill>
    <fill>
      <patternFill patternType="solid">
        <fgColor rgb="FFF7F5F0"/>
        <bgColor rgb="FFFAF7F0"/>
      </patternFill>
    </fill>
    <fill>
      <patternFill patternType="solid">
        <fgColor rgb="FFFAF7F0"/>
        <bgColor rgb="FFF7F5F0"/>
      </patternFill>
    </fill>
    <fill>
      <patternFill patternType="solid">
        <fgColor rgb="FFE3C683"/>
        <bgColor rgb="FFF0DBD9"/>
      </patternFill>
    </fill>
  </fills>
  <borders count="6">
    <border diagonalUp="false" diagonalDown="false">
      <left/>
      <right/>
      <top/>
      <bottom/>
      <diagonal/>
    </border>
    <border diagonalUp="false" diagonalDown="false">
      <left style="thin">
        <color rgb="FFE3E5E8"/>
      </left>
      <right style="thin">
        <color rgb="FFE3E5E8"/>
      </right>
      <top style="thin">
        <color rgb="FFE3E5E8"/>
      </top>
      <bottom style="thin">
        <color rgb="FFE3E5E8"/>
      </bottom>
      <diagonal/>
    </border>
    <border diagonalUp="false" diagonalDown="false">
      <left style="thin">
        <color rgb="FF1F2A33"/>
      </left>
      <right style="thin">
        <color rgb="FF1F2A33"/>
      </right>
      <top style="thin">
        <color rgb="FF1F2A33"/>
      </top>
      <bottom style="thin">
        <color rgb="FF1F2A33"/>
      </bottom>
      <diagonal/>
    </border>
    <border diagonalUp="false" diagonalDown="false">
      <left style="medium">
        <color rgb="FFC9A14A"/>
      </left>
      <right style="thin">
        <color rgb="FFD8DCDF"/>
      </right>
      <top style="thin">
        <color rgb="FFD8DCDF"/>
      </top>
      <bottom style="thin">
        <color rgb="FFD8DCDF"/>
      </bottom>
      <diagonal/>
    </border>
    <border diagonalUp="false" diagonalDown="false">
      <left style="medium">
        <color rgb="FFC9A14A"/>
      </left>
      <right style="thin">
        <color rgb="FFD8DCDF"/>
      </right>
      <top/>
      <bottom style="thin">
        <color rgb="FFD8DCDF"/>
      </bottom>
      <diagonal/>
    </border>
    <border diagonalUp="false" diagonalDown="false">
      <left style="thin">
        <color rgb="FFC9A14A"/>
      </left>
      <right style="thin">
        <color rgb="FFC9A14A"/>
      </right>
      <top style="thin">
        <color rgb="FFC9A14A"/>
      </top>
      <bottom style="thin">
        <color rgb="FFC9A1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right" vertical="center" textRotation="0" wrapText="false" indent="1" shrinkToFit="false"/>
      <protection locked="true" hidden="false"/>
    </xf>
    <xf numFmtId="164" fontId="7" fillId="3" borderId="1" xfId="0" applyFont="true" applyBorder="true" applyAlignment="true" applyProtection="false">
      <alignment horizontal="left" vertical="top" textRotation="0" wrapText="true" indent="1"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5" borderId="0" xfId="0" applyFont="true" applyBorder="true" applyAlignment="true" applyProtection="false">
      <alignment horizontal="left" vertical="center" textRotation="0" wrapText="false" indent="2" shrinkToFit="false"/>
      <protection locked="true" hidden="false"/>
    </xf>
    <xf numFmtId="164" fontId="10" fillId="0"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true" applyAlignment="true" applyProtection="false">
      <alignment horizontal="left" vertical="center" textRotation="0" wrapText="false" indent="1"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false" indent="1" shrinkToFit="false"/>
      <protection locked="true" hidden="false"/>
    </xf>
    <xf numFmtId="164" fontId="4" fillId="2" borderId="2" xfId="0" applyFont="true" applyBorder="true" applyAlignment="true" applyProtection="false">
      <alignment horizontal="right" vertical="center" textRotation="0" wrapText="false" indent="1"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6" fontId="12" fillId="6"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5" fontId="12" fillId="3" borderId="1" xfId="0" applyFont="true" applyBorder="true" applyAlignment="true" applyProtection="false">
      <alignment horizontal="right" vertical="bottom" textRotation="0" wrapText="false" indent="0" shrinkToFit="false"/>
      <protection locked="true" hidden="false"/>
    </xf>
    <xf numFmtId="164" fontId="0" fillId="6" borderId="3" xfId="0" applyFont="true" applyBorder="true" applyAlignment="true" applyProtection="false">
      <alignment horizontal="left" vertical="center" textRotation="0" wrapText="true" indent="1" shrinkToFit="false"/>
      <protection locked="true" hidden="false"/>
    </xf>
    <xf numFmtId="164" fontId="13" fillId="5" borderId="0"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1"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70" fontId="9" fillId="0" borderId="1" xfId="0" applyFont="true" applyBorder="true" applyAlignment="true" applyProtection="false">
      <alignment horizontal="center" vertical="bottom" textRotation="0" wrapText="false" indent="0" shrinkToFit="false"/>
      <protection locked="true" hidden="false"/>
    </xf>
    <xf numFmtId="169" fontId="14" fillId="0" borderId="1" xfId="0" applyFont="true" applyBorder="true" applyAlignment="true" applyProtection="false">
      <alignment horizontal="right" vertical="bottom" textRotation="0" wrapText="false" indent="0" shrinkToFit="false"/>
      <protection locked="true" hidden="false"/>
    </xf>
    <xf numFmtId="165" fontId="15" fillId="0" borderId="1" xfId="0" applyFont="true" applyBorder="true" applyAlignment="true" applyProtection="false">
      <alignment horizontal="right" vertical="bottom" textRotation="0" wrapText="false" indent="0" shrinkToFit="false"/>
      <protection locked="true" hidden="false"/>
    </xf>
    <xf numFmtId="171" fontId="7" fillId="0" borderId="1" xfId="0" applyFont="true" applyBorder="true" applyAlignment="true" applyProtection="false">
      <alignment horizontal="right"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16" fillId="2" borderId="0" xfId="0" applyFont="true" applyBorder="false" applyAlignment="true" applyProtection="false">
      <alignment horizontal="right" vertical="bottom" textRotation="0" wrapText="false" indent="0" shrinkToFit="false"/>
      <protection locked="true" hidden="false"/>
    </xf>
    <xf numFmtId="171" fontId="16" fillId="2" borderId="0" xfId="0" applyFont="true" applyBorder="false" applyAlignment="true" applyProtection="false">
      <alignment horizontal="right" vertical="bottom" textRotation="0" wrapText="false" indent="0" shrinkToFit="false"/>
      <protection locked="true" hidden="false"/>
    </xf>
    <xf numFmtId="167" fontId="16" fillId="2" borderId="0" xfId="0" applyFont="true" applyBorder="false" applyAlignment="true" applyProtection="false">
      <alignment horizontal="right" vertical="bottom" textRotation="0" wrapText="false" indent="0" shrinkToFit="false"/>
      <protection locked="true" hidden="false"/>
    </xf>
    <xf numFmtId="164" fontId="0" fillId="3" borderId="1" xfId="0" applyFont="true" applyBorder="true" applyAlignment="true" applyProtection="false">
      <alignment horizontal="left" vertical="top" textRotation="0" wrapText="true" indent="1" shrinkToFit="false"/>
      <protection locked="true" hidden="false"/>
    </xf>
    <xf numFmtId="172" fontId="12" fillId="0" borderId="1" xfId="0" applyFont="true" applyBorder="true" applyAlignment="true" applyProtection="false">
      <alignment horizontal="right" vertical="bottom" textRotation="0" wrapText="false" indent="0" shrinkToFit="false"/>
      <protection locked="true" hidden="false"/>
    </xf>
    <xf numFmtId="173" fontId="18"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1"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74" fontId="11" fillId="7" borderId="1" xfId="0" applyFont="true" applyBorder="true" applyAlignment="true" applyProtection="false">
      <alignment horizontal="right" vertical="bottom" textRotation="0" wrapText="false" indent="0" shrinkToFit="false"/>
      <protection locked="true" hidden="false"/>
    </xf>
    <xf numFmtId="174" fontId="12"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1" shrinkToFit="false"/>
      <protection locked="true" hidden="false"/>
    </xf>
    <xf numFmtId="175" fontId="12" fillId="0" borderId="1" xfId="0" applyFont="true" applyBorder="true" applyAlignment="true" applyProtection="false">
      <alignment horizontal="right" vertical="bottom" textRotation="0" wrapText="false" indent="0" shrinkToFit="false"/>
      <protection locked="true" hidden="false"/>
    </xf>
    <xf numFmtId="175" fontId="15" fillId="0" borderId="1"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1" shrinkToFit="false"/>
      <protection locked="true" hidden="false"/>
    </xf>
    <xf numFmtId="171" fontId="12" fillId="0" borderId="1" xfId="0" applyFont="true" applyBorder="true" applyAlignment="true" applyProtection="false">
      <alignment horizontal="right" vertical="bottom" textRotation="0" wrapText="false" indent="0" shrinkToFit="false"/>
      <protection locked="true" hidden="false"/>
    </xf>
    <xf numFmtId="176" fontId="19"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1"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77" fontId="12" fillId="0" borderId="1" xfId="0" applyFont="true" applyBorder="true" applyAlignment="true" applyProtection="false">
      <alignment horizontal="right" vertical="bottom" textRotation="0" wrapText="false" indent="0" shrinkToFit="false"/>
      <protection locked="true" hidden="false"/>
    </xf>
    <xf numFmtId="170" fontId="20" fillId="0" borderId="1" xfId="0" applyFont="true" applyBorder="true" applyAlignment="true" applyProtection="false">
      <alignment horizontal="center" vertical="bottom" textRotation="0" wrapText="false" indent="0" shrinkToFit="false"/>
      <protection locked="true" hidden="false"/>
    </xf>
    <xf numFmtId="177" fontId="15"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8" fontId="12" fillId="0" borderId="1" xfId="0" applyFont="true" applyBorder="true" applyAlignment="true" applyProtection="false">
      <alignment horizontal="right"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79" fontId="12" fillId="0" borderId="1" xfId="0" applyFont="true" applyBorder="true" applyAlignment="true" applyProtection="false">
      <alignment horizontal="right" vertical="bottom" textRotation="0" wrapText="false" indent="0" shrinkToFit="false"/>
      <protection locked="true" hidden="false"/>
    </xf>
    <xf numFmtId="180" fontId="12" fillId="0" borderId="1"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70" fontId="20" fillId="0" borderId="1" xfId="0" applyFont="true" applyBorder="true" applyAlignment="true" applyProtection="false">
      <alignment horizontal="right" vertical="bottom" textRotation="0" wrapText="false" indent="0" shrinkToFit="false"/>
      <protection locked="true" hidden="false"/>
    </xf>
    <xf numFmtId="180" fontId="7"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7" fillId="7" borderId="1" xfId="0" applyFont="true" applyBorder="true" applyAlignment="true" applyProtection="false">
      <alignment horizontal="left" vertical="bottom" textRotation="0" wrapText="false" indent="1" shrinkToFit="false"/>
      <protection locked="true" hidden="false"/>
    </xf>
    <xf numFmtId="164" fontId="12" fillId="3" borderId="1" xfId="0" applyFont="true" applyBorder="true" applyAlignment="true" applyProtection="false">
      <alignment horizontal="left" vertical="bottom" textRotation="0" wrapText="false" indent="1" shrinkToFit="false"/>
      <protection locked="true" hidden="false"/>
    </xf>
    <xf numFmtId="164" fontId="11" fillId="2" borderId="0" xfId="0" applyFont="true" applyBorder="false" applyAlignment="true" applyProtection="false">
      <alignment horizontal="left" vertical="bottom" textRotation="0" wrapText="false" indent="1" shrinkToFit="false"/>
      <protection locked="true" hidden="false"/>
    </xf>
    <xf numFmtId="164" fontId="11" fillId="2" borderId="0" xfId="0" applyFont="true" applyBorder="true" applyAlignment="true" applyProtection="false">
      <alignment horizontal="left" vertical="bottom" textRotation="0" wrapText="false" indent="1" shrinkToFit="false"/>
      <protection locked="true" hidden="false"/>
    </xf>
    <xf numFmtId="178" fontId="21" fillId="6" borderId="4" xfId="0" applyFont="true" applyBorder="true" applyAlignment="true" applyProtection="false">
      <alignment horizontal="right" vertical="center" textRotation="0" wrapText="false" indent="1" shrinkToFit="false"/>
      <protection locked="true" hidden="false"/>
    </xf>
    <xf numFmtId="164" fontId="9" fillId="3" borderId="0" xfId="0" applyFont="true" applyBorder="true" applyAlignment="true" applyProtection="false">
      <alignment horizontal="left" vertical="bottom" textRotation="0" wrapText="false" indent="1" shrinkToFit="false"/>
      <protection locked="true" hidden="false"/>
    </xf>
    <xf numFmtId="164" fontId="12" fillId="3" borderId="0" xfId="0" applyFont="true" applyBorder="true" applyAlignment="true" applyProtection="false">
      <alignment horizontal="left" vertical="bottom" textRotation="0" wrapText="true" indent="1" shrinkToFit="false"/>
      <protection locked="true" hidden="false"/>
    </xf>
    <xf numFmtId="166" fontId="21" fillId="6" borderId="4" xfId="0" applyFont="true" applyBorder="true" applyAlignment="true" applyProtection="false">
      <alignment horizontal="right" vertical="center" textRotation="0" wrapText="false" indent="1" shrinkToFit="false"/>
      <protection locked="true" hidden="false"/>
    </xf>
    <xf numFmtId="181" fontId="9" fillId="0" borderId="1" xfId="0" applyFont="true" applyBorder="true" applyAlignment="true" applyProtection="false">
      <alignment horizontal="right" vertical="bottom" textRotation="0" wrapText="false" indent="0" shrinkToFit="false"/>
      <protection locked="true" hidden="false"/>
    </xf>
    <xf numFmtId="164" fontId="22" fillId="0" borderId="1" xfId="0" applyFont="true" applyBorder="true" applyAlignment="true" applyProtection="false">
      <alignment horizontal="left" vertical="bottom" textRotation="0" wrapText="false" indent="1" shrinkToFit="false"/>
      <protection locked="true" hidden="false"/>
    </xf>
    <xf numFmtId="164" fontId="7" fillId="6" borderId="1" xfId="0" applyFont="true" applyBorder="true" applyAlignment="true" applyProtection="false">
      <alignment horizontal="left" vertical="bottom" textRotation="0" wrapText="false" indent="1" shrinkToFit="false"/>
      <protection locked="true" hidden="false"/>
    </xf>
    <xf numFmtId="164" fontId="11" fillId="3" borderId="5" xfId="0" applyFont="true" applyBorder="true" applyAlignment="true" applyProtection="false">
      <alignment horizontal="left" vertical="bottom" textRotation="0" wrapText="false" indent="1" shrinkToFit="false"/>
      <protection locked="true" hidden="false"/>
    </xf>
    <xf numFmtId="167" fontId="7" fillId="6" borderId="1" xfId="0" applyFont="true" applyBorder="true" applyAlignment="true" applyProtection="false">
      <alignment horizontal="right" vertical="bottom" textRotation="0" wrapText="false" indent="0" shrinkToFit="false"/>
      <protection locked="true" hidden="false"/>
    </xf>
    <xf numFmtId="165" fontId="7" fillId="6" borderId="1" xfId="0" applyFont="true" applyBorder="true" applyAlignment="true" applyProtection="false">
      <alignment horizontal="right" vertical="bottom" textRotation="0" wrapText="false" indent="0" shrinkToFit="false"/>
      <protection locked="true" hidden="false"/>
    </xf>
    <xf numFmtId="171" fontId="7" fillId="6" borderId="1" xfId="0" applyFont="true" applyBorder="true" applyAlignment="true" applyProtection="false">
      <alignment horizontal="right" vertical="bottom" textRotation="0" wrapText="false" indent="0" shrinkToFit="false"/>
      <protection locked="true" hidden="false"/>
    </xf>
    <xf numFmtId="180" fontId="7" fillId="6" borderId="1" xfId="0" applyFont="true" applyBorder="true" applyAlignment="true" applyProtection="false">
      <alignment horizontal="right" vertical="bottom" textRotation="0" wrapText="false" indent="0" shrinkToFit="false"/>
      <protection locked="true" hidden="false"/>
    </xf>
    <xf numFmtId="182" fontId="7" fillId="6" borderId="1" xfId="0" applyFont="true" applyBorder="true" applyAlignment="true" applyProtection="false">
      <alignment horizontal="right"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Inter"/>
        <charset val="1"/>
        <family val="0"/>
        <b val="1"/>
        <color rgb="FF9B3A30"/>
        <sz val="11"/>
      </font>
      <fill>
        <patternFill>
          <bgColor rgb="FFF0DBD9"/>
        </patternFill>
      </fill>
    </dxf>
    <dxf>
      <font>
        <name val="Inter"/>
        <charset val="1"/>
        <family val="0"/>
        <b val="1"/>
        <color rgb="FFB57A2A"/>
        <sz val="11"/>
      </font>
      <fill>
        <patternFill>
          <bgColor rgb="FFF5E5D0"/>
        </patternFill>
      </fill>
    </dxf>
    <dxf>
      <font>
        <name val="Inter"/>
        <charset val="1"/>
        <family val="0"/>
        <b val="1"/>
        <color rgb="FF3F6B4D"/>
        <sz val="11"/>
      </font>
      <fill>
        <patternFill>
          <bgColor rgb="FFD9E5DC"/>
        </patternFill>
      </fill>
    </dxf>
    <dxf>
      <font>
        <b val="1"/>
        <color rgb="FF3F6B4D"/>
      </font>
    </dxf>
    <dxf>
      <font>
        <b val="1"/>
        <color rgb="FF9B3A30"/>
      </font>
    </dxf>
    <dxf>
      <fill>
        <patternFill>
          <bgColor rgb="FFD9E5DC"/>
        </patternFill>
      </fill>
    </dxf>
    <dxf>
      <fill>
        <patternFill>
          <bgColor rgb="FFF0DBD9"/>
        </patternFill>
      </fill>
    </dxf>
    <dxf>
      <font>
        <color rgb="FFB57A2A"/>
      </font>
      <fill>
        <patternFill>
          <bgColor rgb="FFF5E5D0"/>
        </patternFill>
      </fill>
    </dxf>
    <dxf>
      <font>
        <color rgb="FF3F6B4D"/>
      </font>
      <fill>
        <patternFill>
          <bgColor rgb="FFD9E5DC"/>
        </patternFill>
      </fill>
    </dxf>
    <dxf>
      <font>
        <name val="Inter"/>
        <charset val="1"/>
        <family val="0"/>
        <b val="1"/>
        <color rgb="FFFFFFFF"/>
        <sz val="11"/>
      </font>
      <fill>
        <patternFill>
          <bgColor rgb="FF9B3A30"/>
        </patternFill>
      </fill>
    </dxf>
    <dxf>
      <font>
        <name val="Inter"/>
        <charset val="1"/>
        <family val="0"/>
        <b val="1"/>
        <color rgb="FFFFFFFF"/>
        <sz val="11"/>
      </font>
      <fill>
        <patternFill>
          <bgColor rgb="FF3F6B4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57A2A"/>
      <rgbColor rgb="FF800080"/>
      <rgbColor rgb="FF008080"/>
      <rgbColor rgb="FFF0DBD9"/>
      <rgbColor rgb="FF888888"/>
      <rgbColor rgb="FF9999FF"/>
      <rgbColor rgb="FF993366"/>
      <rgbColor rgb="FFFAF7F0"/>
      <rgbColor rgb="FFE3E5E8"/>
      <rgbColor rgb="FF660066"/>
      <rgbColor rgb="FFFF8080"/>
      <rgbColor rgb="FF0066CC"/>
      <rgbColor rgb="FFD8DCDF"/>
      <rgbColor rgb="FF000080"/>
      <rgbColor rgb="FFFF00FF"/>
      <rgbColor rgb="FFFFFF00"/>
      <rgbColor rgb="FF00FFFF"/>
      <rgbColor rgb="FF800080"/>
      <rgbColor rgb="FF800000"/>
      <rgbColor rgb="FF008080"/>
      <rgbColor rgb="FF0000FF"/>
      <rgbColor rgb="FF00CCFF"/>
      <rgbColor rgb="FFF7F5F0"/>
      <rgbColor rgb="FFD9E5DC"/>
      <rgbColor rgb="FFF5E5D0"/>
      <rgbColor rgb="FF99CCFF"/>
      <rgbColor rgb="FFFF99CC"/>
      <rgbColor rgb="FFCC99FF"/>
      <rgbColor rgb="FFE3C683"/>
      <rgbColor rgb="FF3366FF"/>
      <rgbColor rgb="FF33CCCC"/>
      <rgbColor rgb="FF99CC00"/>
      <rgbColor rgb="FFFFCC00"/>
      <rgbColor rgb="FFFF9900"/>
      <rgbColor rgb="FFFF6600"/>
      <rgbColor rgb="FF666666"/>
      <rgbColor rgb="FFC9A14A"/>
      <rgbColor rgb="FF003366"/>
      <rgbColor rgb="FF3F6B4D"/>
      <rgbColor rgb="FF003300"/>
      <rgbColor rgb="FF333300"/>
      <rgbColor rgb="FF9B3A30"/>
      <rgbColor rgb="FF993366"/>
      <rgbColor rgb="FF333399"/>
      <rgbColor rgb="FF1F2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11" min="3" style="0" width="12"/>
    <col collapsed="false" customWidth="true" hidden="false" outlineLevel="0" max="12" min="12"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v>
      </c>
      <c r="K1" s="3"/>
      <c r="L1" s="3"/>
      <c r="M1" s="3"/>
    </row>
    <row r="2" customFormat="false" ht="54" hidden="false" customHeight="true" outlineLevel="0" collapsed="false">
      <c r="A2" s="4" t="str">
        <f aca="false">"TOTAL VALUE"&amp;CHAR(10)&amp;(TEXT(SUM('📊 Holdings Master'!J9:J68),"$#,##0"))</f>
        <v>TOTAL VALUE
$107,390</v>
      </c>
      <c r="B2" s="4"/>
      <c r="C2" s="4" t="str">
        <f aca="false">"MoM CHANGE"&amp;CHAR(10)&amp;(TEXT(IFERROR(SUM('📊 Holdings Master'!J9:J68)-SUM('📊 Holdings Master'!H9:H68),0),"+$#,##0;-$#,##0"))</f>
        <v>MoM CHANGE
+$0</v>
      </c>
      <c r="D2" s="4"/>
      <c r="E2" s="4" t="str">
        <f aca="false">"YTD RETURN"&amp;CHAR(10)&amp;(TEXT(IFERROR((SUM('📊 Holdings Master'!J9:J68)/MAX(1,SUM('📊 Holdings Master'!H9:H68)))-1,0),"+0.0%;-0.0%"))</f>
        <v>YTD RETURN
+0.0%</v>
      </c>
      <c r="F2" s="4"/>
      <c r="G2" s="4" t="str">
        <f aca="false">"YTD DIVIDENDS"&amp;CHAR(10)&amp;(TEXT(SUM('💰 Dividend Income Calendar'!N9:N28),"$#,##0"))</f>
        <v>YTD DIVIDENDS
$3,065</v>
      </c>
      <c r="H2" s="4"/>
      <c r="I2" s="4" t="str">
        <f aca="false">"POSITIONS"&amp;CHAR(10)&amp;(COUNTA('📊 Holdings Master'!B9:B68))</f>
        <v>POSITIONS
3</v>
      </c>
      <c r="J2" s="4"/>
      <c r="K2" s="4" t="str">
        <f aca="false">"DRIFT STATUS"&amp;CHAR(10)&amp;(IFERROR(IF(MAX('📈 Asset Allocation'!F11:F20)&gt;0.05,"🔴 Significant",IF(MAX('📈 Asset Allocation'!F11:F20)&gt;0.02,"⚠ Mild","✓ On target")),"✓ On target"))</f>
        <v>DRIFT STATUS
⚠ Mild</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4</v>
      </c>
      <c r="B4" s="6"/>
      <c r="C4" s="6"/>
      <c r="D4" s="6"/>
      <c r="E4" s="6"/>
      <c r="F4" s="6"/>
      <c r="G4" s="6"/>
      <c r="H4" s="6"/>
      <c r="I4" s="6"/>
      <c r="J4" s="6"/>
      <c r="K4" s="6"/>
      <c r="L4" s="6"/>
      <c r="M4" s="6"/>
    </row>
    <row r="6" customFormat="false" ht="25.5" hidden="false" customHeight="true" outlineLevel="0" collapsed="false">
      <c r="B6" s="7" t="s">
        <v>5</v>
      </c>
      <c r="C6" s="7"/>
      <c r="D6" s="7"/>
      <c r="E6" s="7"/>
      <c r="F6" s="7"/>
      <c r="G6" s="7"/>
      <c r="H6" s="7"/>
      <c r="I6" s="7"/>
      <c r="J6" s="7"/>
      <c r="K6" s="7"/>
      <c r="L6" s="7"/>
    </row>
    <row r="7" customFormat="false" ht="18" hidden="false" customHeight="true" outlineLevel="0" collapsed="false">
      <c r="B7" s="8" t="s">
        <v>6</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7</v>
      </c>
      <c r="C10" s="10" t="s">
        <v>8</v>
      </c>
      <c r="D10" s="10" t="s">
        <v>9</v>
      </c>
      <c r="E10" s="10" t="s">
        <v>10</v>
      </c>
      <c r="F10" s="11" t="s">
        <v>11</v>
      </c>
    </row>
    <row r="11" customFormat="false" ht="16.9" hidden="false" customHeight="false" outlineLevel="0" collapsed="false">
      <c r="B11" s="12" t="s">
        <v>12</v>
      </c>
      <c r="C11" s="12" t="str">
        <f aca="false">IFERROR(INDEX('📊 Holdings Master'!B9:B68,MATCH(LARGE('📊 Holdings Master'!J9:J68,1),'📊 Holdings Master'!J9:J68,0)),"—")</f>
        <v>VTI</v>
      </c>
      <c r="D11" s="13" t="n">
        <f aca="false">IFERROR(LARGE('📊 Holdings Master'!J9:J68,1),0)</f>
        <v>71250</v>
      </c>
      <c r="E11" s="14" t="n">
        <f aca="false">IFERROR(D11/SUM('📊 Holdings Master'!J9:J68),0)</f>
        <v>0.663469596796722</v>
      </c>
      <c r="F11" s="15" t="str">
        <f aca="false">IF(E11&gt;0.2,"🔴 CONCENTRATION &gt;20%",IF(E11&gt;0.1,"⚠ Watch","✓ OK"))</f>
        <v>🔴 CONCENTRATION &gt;20%</v>
      </c>
    </row>
    <row r="12" customFormat="false" ht="16.9" hidden="false" customHeight="false" outlineLevel="0" collapsed="false">
      <c r="B12" s="12" t="s">
        <v>13</v>
      </c>
      <c r="C12" s="12" t="str">
        <f aca="false">IFERROR(INDEX('📊 Holdings Master'!B9:B68,MATCH(LARGE('📊 Holdings Master'!J9:J68,2),'📊 Holdings Master'!J9:J68,0)),"—")</f>
        <v>VXUS</v>
      </c>
      <c r="D12" s="13" t="n">
        <f aca="false">IFERROR(LARGE('📊 Holdings Master'!J9:J68,2),0)</f>
        <v>21700</v>
      </c>
      <c r="E12" s="14" t="n">
        <f aca="false">IFERROR(D12/SUM('📊 Holdings Master'!J9:J68),0)</f>
        <v>0.202067231585809</v>
      </c>
      <c r="F12" s="15" t="str">
        <f aca="false">IF(E12&gt;0.2,"🔴 CONCENTRATION &gt;20%",IF(E12&gt;0.1,"⚠ Watch","✓ OK"))</f>
        <v>🔴 CONCENTRATION &gt;20%</v>
      </c>
    </row>
    <row r="13" customFormat="false" ht="16.9" hidden="false" customHeight="false" outlineLevel="0" collapsed="false">
      <c r="B13" s="12" t="s">
        <v>14</v>
      </c>
      <c r="C13" s="12" t="str">
        <f aca="false">IFERROR(INDEX('📊 Holdings Master'!B9:B68,MATCH(LARGE('📊 Holdings Master'!J9:J68,3),'📊 Holdings Master'!J9:J68,0)),"—")</f>
        <v>BND</v>
      </c>
      <c r="D13" s="13" t="n">
        <f aca="false">IFERROR(LARGE('📊 Holdings Master'!J9:J68,3),0)</f>
        <v>14440</v>
      </c>
      <c r="E13" s="14" t="n">
        <f aca="false">IFERROR(D13/SUM('📊 Holdings Master'!J9:J68),0)</f>
        <v>0.134463171617469</v>
      </c>
      <c r="F13" s="15" t="str">
        <f aca="false">IF(E13&gt;0.2,"🔴 CONCENTRATION &gt;20%",IF(E13&gt;0.1,"⚠ Watch","✓ OK"))</f>
        <v>⚠ Watch</v>
      </c>
    </row>
    <row r="14" customFormat="false" ht="16.9" hidden="false" customHeight="false" outlineLevel="0" collapsed="false">
      <c r="B14" s="12" t="s">
        <v>15</v>
      </c>
      <c r="C14" s="12" t="n">
        <f aca="false">IFERROR(INDEX('📊 Holdings Master'!B9:B68,MATCH(LARGE('📊 Holdings Master'!J9:J68,4),'📊 Holdings Master'!J9:J68,0)),"—")</f>
        <v>0</v>
      </c>
      <c r="D14" s="13" t="n">
        <f aca="false">IFERROR(LARGE('📊 Holdings Master'!J9:J68,4),0)</f>
        <v>0</v>
      </c>
      <c r="E14" s="14" t="n">
        <f aca="false">IFERROR(D14/SUM('📊 Holdings Master'!J9:J68),0)</f>
        <v>0</v>
      </c>
      <c r="F14" s="15" t="str">
        <f aca="false">IF(E14&gt;0.2,"🔴 CONCENTRATION &gt;20%",IF(E14&gt;0.1,"⚠ Watch","✓ OK"))</f>
        <v>✓ OK</v>
      </c>
    </row>
    <row r="15" customFormat="false" ht="16.9" hidden="false" customHeight="false" outlineLevel="0" collapsed="false">
      <c r="B15" s="12" t="s">
        <v>16</v>
      </c>
      <c r="C15" s="12" t="n">
        <f aca="false">IFERROR(INDEX('📊 Holdings Master'!B9:B68,MATCH(LARGE('📊 Holdings Master'!J9:J68,5),'📊 Holdings Master'!J9:J68,0)),"—")</f>
        <v>0</v>
      </c>
      <c r="D15" s="13" t="n">
        <f aca="false">IFERROR(LARGE('📊 Holdings Master'!J9:J68,5),0)</f>
        <v>0</v>
      </c>
      <c r="E15" s="14" t="n">
        <f aca="false">IFERROR(D15/SUM('📊 Holdings Master'!J9:J68),0)</f>
        <v>0</v>
      </c>
      <c r="F15" s="15" t="str">
        <f aca="false">IF(E15&gt;0.2,"🔴 CONCENTRATION &gt;20%",IF(E15&gt;0.1,"⚠ Watch","✓ OK"))</f>
        <v>✓ OK</v>
      </c>
    </row>
    <row r="18" customFormat="false" ht="25.5" hidden="false" customHeight="true" outlineLevel="0" collapsed="false">
      <c r="B18" s="7" t="s">
        <v>17</v>
      </c>
      <c r="C18" s="7"/>
      <c r="D18" s="7"/>
      <c r="E18" s="7"/>
      <c r="F18" s="7"/>
      <c r="G18" s="7"/>
      <c r="H18" s="7"/>
      <c r="I18" s="7"/>
      <c r="J18" s="7"/>
      <c r="K18" s="7"/>
      <c r="L18" s="7"/>
    </row>
    <row r="19" customFormat="false" ht="18" hidden="false" customHeight="true" outlineLevel="0" collapsed="false">
      <c r="B19" s="8" t="s">
        <v>18</v>
      </c>
      <c r="C19" s="8"/>
      <c r="D19" s="8"/>
      <c r="E19" s="8"/>
      <c r="F19" s="8"/>
      <c r="G19" s="8"/>
      <c r="H19" s="8"/>
      <c r="I19" s="8"/>
      <c r="J19" s="8"/>
      <c r="K19" s="8"/>
      <c r="L19" s="8"/>
    </row>
    <row r="20" customFormat="false" ht="3" hidden="false" customHeight="true" outlineLevel="0" collapsed="false">
      <c r="B20" s="9"/>
      <c r="C20" s="9"/>
      <c r="D20" s="9"/>
      <c r="E20" s="9"/>
      <c r="F20" s="9"/>
      <c r="G20" s="9"/>
      <c r="H20" s="9"/>
      <c r="I20" s="9"/>
      <c r="J20" s="9"/>
      <c r="K20" s="9"/>
      <c r="L20" s="9"/>
    </row>
    <row r="22" customFormat="false" ht="24" hidden="false" customHeight="true" outlineLevel="0" collapsed="false">
      <c r="B22" s="10" t="s">
        <v>19</v>
      </c>
      <c r="C22" s="10" t="s">
        <v>20</v>
      </c>
      <c r="D22" s="10" t="s">
        <v>21</v>
      </c>
      <c r="E22" s="10" t="s">
        <v>22</v>
      </c>
      <c r="F22" s="10" t="s">
        <v>23</v>
      </c>
      <c r="G22" s="11" t="s">
        <v>24</v>
      </c>
    </row>
    <row r="23" customFormat="false" ht="16.9" hidden="false" customHeight="false" outlineLevel="0" collapsed="false">
      <c r="B23" s="16" t="s">
        <v>25</v>
      </c>
      <c r="C23" s="17" t="n">
        <f aca="false">IFERROR(SUMIF('📊 Holdings Master'!D9:D68,B23,'📊 Holdings Master'!J9:J68),0)</f>
        <v>0</v>
      </c>
      <c r="D23" s="18" t="n">
        <f aca="false">IFERROR(C23/SUM(C23:C32),0)</f>
        <v>0</v>
      </c>
      <c r="E23" s="19" t="n">
        <v>0.4</v>
      </c>
      <c r="F23" s="20" t="n">
        <f aca="false">D23-E23</f>
        <v>-0.4</v>
      </c>
      <c r="G23" s="15" t="str">
        <f aca="false">IF(ABS(F23)&gt;0.05,"🔴 Significant",IF(ABS(F23)&gt;0.02,"⚠ Mild","✓ On target"))</f>
        <v>🔴 Significant</v>
      </c>
    </row>
    <row r="24" customFormat="false" ht="16.9" hidden="false" customHeight="false" outlineLevel="0" collapsed="false">
      <c r="B24" s="16" t="s">
        <v>26</v>
      </c>
      <c r="C24" s="17" t="n">
        <f aca="false">IFERROR(SUMIF('📊 Holdings Master'!D9:D68,B24,'📊 Holdings Master'!J9:J68),0)</f>
        <v>92950</v>
      </c>
      <c r="D24" s="18" t="n">
        <f aca="false">IFERROR(C24/SUM(C23:C32),0)</f>
        <v>0.865536828382531</v>
      </c>
      <c r="E24" s="19" t="n">
        <v>0.15</v>
      </c>
      <c r="F24" s="20" t="n">
        <f aca="false">D24-E24</f>
        <v>0.715536828382531</v>
      </c>
      <c r="G24" s="15" t="str">
        <f aca="false">IF(ABS(F24)&gt;0.05,"🔴 Significant",IF(ABS(F24)&gt;0.02,"⚠ Mild","✓ On target"))</f>
        <v>🔴 Significant</v>
      </c>
    </row>
    <row r="25" customFormat="false" ht="16.9" hidden="false" customHeight="false" outlineLevel="0" collapsed="false">
      <c r="B25" s="16" t="s">
        <v>27</v>
      </c>
      <c r="C25" s="17" t="n">
        <f aca="false">IFERROR(SUMIF('📊 Holdings Master'!D9:D68,B25,'📊 Holdings Master'!J9:J68),0)</f>
        <v>0</v>
      </c>
      <c r="D25" s="18" t="n">
        <f aca="false">IFERROR(C25/SUM(C23:C32),0)</f>
        <v>0</v>
      </c>
      <c r="E25" s="19" t="n">
        <v>0.05</v>
      </c>
      <c r="F25" s="20" t="n">
        <f aca="false">D25-E25</f>
        <v>-0.05</v>
      </c>
      <c r="G25" s="15" t="str">
        <f aca="false">IF(ABS(F25)&gt;0.05,"🔴 Significant",IF(ABS(F25)&gt;0.02,"⚠ Mild","✓ On target"))</f>
        <v>⚠ Mild</v>
      </c>
    </row>
    <row r="26" customFormat="false" ht="16.9" hidden="false" customHeight="false" outlineLevel="0" collapsed="false">
      <c r="B26" s="16" t="s">
        <v>28</v>
      </c>
      <c r="C26" s="17" t="n">
        <f aca="false">IFERROR(SUMIF('📊 Holdings Master'!D9:D68,B26,'📊 Holdings Master'!J9:J68),0)</f>
        <v>14440</v>
      </c>
      <c r="D26" s="18" t="n">
        <f aca="false">IFERROR(C26/SUM(C23:C32),0)</f>
        <v>0.134463171617469</v>
      </c>
      <c r="E26" s="19" t="n">
        <v>0.15</v>
      </c>
      <c r="F26" s="20" t="n">
        <f aca="false">D26-E26</f>
        <v>-0.015536828382531</v>
      </c>
      <c r="G26" s="15" t="str">
        <f aca="false">IF(ABS(F26)&gt;0.05,"🔴 Significant",IF(ABS(F26)&gt;0.02,"⚠ Mild","✓ On target"))</f>
        <v>✓ On target</v>
      </c>
    </row>
    <row r="27" customFormat="false" ht="16.9" hidden="false" customHeight="false" outlineLevel="0" collapsed="false">
      <c r="B27" s="16" t="s">
        <v>29</v>
      </c>
      <c r="C27" s="17" t="n">
        <f aca="false">IFERROR(SUMIF('📊 Holdings Master'!D9:D68,B27,'📊 Holdings Master'!J9:J68),0)</f>
        <v>0</v>
      </c>
      <c r="D27" s="18" t="n">
        <f aca="false">IFERROR(C27/SUM(C23:C32),0)</f>
        <v>0</v>
      </c>
      <c r="E27" s="19" t="n">
        <v>0.05</v>
      </c>
      <c r="F27" s="20" t="n">
        <f aca="false">D27-E27</f>
        <v>-0.05</v>
      </c>
      <c r="G27" s="15" t="str">
        <f aca="false">IF(ABS(F27)&gt;0.05,"🔴 Significant",IF(ABS(F27)&gt;0.02,"⚠ Mild","✓ On target"))</f>
        <v>⚠ Mild</v>
      </c>
    </row>
    <row r="28" customFormat="false" ht="16.9" hidden="false" customHeight="false" outlineLevel="0" collapsed="false">
      <c r="B28" s="16" t="s">
        <v>30</v>
      </c>
      <c r="C28" s="17" t="n">
        <f aca="false">IFERROR(SUMIF('📊 Holdings Master'!D9:D68,B28,'📊 Holdings Master'!J9:J68),0)</f>
        <v>0</v>
      </c>
      <c r="D28" s="18" t="n">
        <f aca="false">IFERROR(C28/SUM(C23:C32),0)</f>
        <v>0</v>
      </c>
      <c r="E28" s="19" t="n">
        <v>0.05</v>
      </c>
      <c r="F28" s="20" t="n">
        <f aca="false">D28-E28</f>
        <v>-0.05</v>
      </c>
      <c r="G28" s="15" t="str">
        <f aca="false">IF(ABS(F28)&gt;0.05,"🔴 Significant",IF(ABS(F28)&gt;0.02,"⚠ Mild","✓ On target"))</f>
        <v>⚠ Mild</v>
      </c>
    </row>
    <row r="29" customFormat="false" ht="16.9" hidden="false" customHeight="false" outlineLevel="0" collapsed="false">
      <c r="B29" s="16" t="s">
        <v>31</v>
      </c>
      <c r="C29" s="17" t="n">
        <f aca="false">IFERROR(SUMIF('📊 Holdings Master'!D9:D68,B29,'📊 Holdings Master'!J9:J68),0)</f>
        <v>0</v>
      </c>
      <c r="D29" s="18" t="n">
        <f aca="false">IFERROR(C29/SUM(C23:C32),0)</f>
        <v>0</v>
      </c>
      <c r="E29" s="19" t="n">
        <v>0.03</v>
      </c>
      <c r="F29" s="20" t="n">
        <f aca="false">D29-E29</f>
        <v>-0.03</v>
      </c>
      <c r="G29" s="15" t="str">
        <f aca="false">IF(ABS(F29)&gt;0.05,"🔴 Significant",IF(ABS(F29)&gt;0.02,"⚠ Mild","✓ On target"))</f>
        <v>⚠ Mild</v>
      </c>
    </row>
    <row r="30" customFormat="false" ht="16.9" hidden="false" customHeight="false" outlineLevel="0" collapsed="false">
      <c r="B30" s="16" t="s">
        <v>32</v>
      </c>
      <c r="C30" s="17" t="n">
        <f aca="false">IFERROR(SUMIF('📊 Holdings Master'!D9:D68,B30,'📊 Holdings Master'!J9:J68),0)</f>
        <v>0</v>
      </c>
      <c r="D30" s="18" t="n">
        <f aca="false">IFERROR(C30/SUM(C23:C32),0)</f>
        <v>0</v>
      </c>
      <c r="E30" s="19" t="n">
        <v>0.07</v>
      </c>
      <c r="F30" s="20" t="n">
        <f aca="false">D30-E30</f>
        <v>-0.07</v>
      </c>
      <c r="G30" s="15" t="str">
        <f aca="false">IF(ABS(F30)&gt;0.05,"🔴 Significant",IF(ABS(F30)&gt;0.02,"⚠ Mild","✓ On target"))</f>
        <v>🔴 Significant</v>
      </c>
    </row>
    <row r="31" customFormat="false" ht="16.9" hidden="false" customHeight="false" outlineLevel="0" collapsed="false">
      <c r="B31" s="16" t="s">
        <v>33</v>
      </c>
      <c r="C31" s="17" t="n">
        <f aca="false">IFERROR(SUMIF('📊 Holdings Master'!D9:D68,B31,'📊 Holdings Master'!J9:J68),0)</f>
        <v>0</v>
      </c>
      <c r="D31" s="18" t="n">
        <f aca="false">IFERROR(C31/SUM(C23:C32),0)</f>
        <v>0</v>
      </c>
      <c r="E31" s="19" t="n">
        <v>0.03</v>
      </c>
      <c r="F31" s="20" t="n">
        <f aca="false">D31-E31</f>
        <v>-0.03</v>
      </c>
      <c r="G31" s="15" t="str">
        <f aca="false">IF(ABS(F31)&gt;0.05,"🔴 Significant",IF(ABS(F31)&gt;0.02,"⚠ Mild","✓ On target"))</f>
        <v>⚠ Mild</v>
      </c>
    </row>
    <row r="32" customFormat="false" ht="16.9" hidden="false" customHeight="false" outlineLevel="0" collapsed="false">
      <c r="B32" s="16" t="s">
        <v>34</v>
      </c>
      <c r="C32" s="17" t="n">
        <f aca="false">IFERROR(SUMIF('📊 Holdings Master'!D9:D68,B32,'📊 Holdings Master'!J9:J68),0)</f>
        <v>0</v>
      </c>
      <c r="D32" s="18" t="n">
        <f aca="false">IFERROR(C32/SUM(C23:C32),0)</f>
        <v>0</v>
      </c>
      <c r="E32" s="19" t="n">
        <v>0.02</v>
      </c>
      <c r="F32" s="20" t="n">
        <f aca="false">D32-E32</f>
        <v>-0.02</v>
      </c>
      <c r="G32" s="15" t="str">
        <f aca="false">IF(ABS(F32)&gt;0.05,"🔴 Significant",IF(ABS(F32)&gt;0.02,"⚠ Mild","✓ On target"))</f>
        <v>✓ On target</v>
      </c>
    </row>
    <row r="35" customFormat="false" ht="25.5" hidden="false" customHeight="true" outlineLevel="0" collapsed="false">
      <c r="B35" s="7" t="s">
        <v>35</v>
      </c>
      <c r="C35" s="7"/>
      <c r="D35" s="7"/>
      <c r="E35" s="7"/>
      <c r="F35" s="7"/>
      <c r="G35" s="7"/>
      <c r="H35" s="7"/>
      <c r="I35" s="7"/>
      <c r="J35" s="7"/>
      <c r="K35" s="7"/>
      <c r="L35" s="7"/>
    </row>
    <row r="36" customFormat="false" ht="18" hidden="false" customHeight="true" outlineLevel="0" collapsed="false">
      <c r="B36" s="8" t="s">
        <v>36</v>
      </c>
      <c r="C36" s="8"/>
      <c r="D36" s="8"/>
      <c r="E36" s="8"/>
      <c r="F36" s="8"/>
      <c r="G36" s="8"/>
      <c r="H36" s="8"/>
      <c r="I36" s="8"/>
      <c r="J36" s="8"/>
      <c r="K36" s="8"/>
      <c r="L36" s="8"/>
    </row>
    <row r="37" customFormat="false" ht="3" hidden="false" customHeight="true" outlineLevel="0" collapsed="false">
      <c r="B37" s="9"/>
      <c r="C37" s="9"/>
      <c r="D37" s="9"/>
      <c r="E37" s="9"/>
      <c r="F37" s="9"/>
      <c r="G37" s="9"/>
      <c r="H37" s="9"/>
      <c r="I37" s="9"/>
      <c r="J37" s="9"/>
      <c r="K37" s="9"/>
      <c r="L37" s="9"/>
    </row>
    <row r="39" customFormat="false" ht="24" hidden="false" customHeight="true" outlineLevel="0" collapsed="false">
      <c r="B39" s="10" t="s">
        <v>37</v>
      </c>
      <c r="C39" s="10" t="s">
        <v>38</v>
      </c>
      <c r="D39" s="10" t="s">
        <v>39</v>
      </c>
      <c r="E39" s="10" t="s">
        <v>40</v>
      </c>
      <c r="F39" s="10" t="s">
        <v>41</v>
      </c>
      <c r="G39" s="10" t="s">
        <v>42</v>
      </c>
      <c r="H39" s="10" t="s">
        <v>43</v>
      </c>
      <c r="I39" s="10" t="s">
        <v>44</v>
      </c>
      <c r="J39" s="10" t="s">
        <v>45</v>
      </c>
      <c r="K39" s="10" t="s">
        <v>46</v>
      </c>
      <c r="L39" s="10" t="s">
        <v>47</v>
      </c>
    </row>
    <row r="40" customFormat="false" ht="15" hidden="false" customHeight="false" outlineLevel="0" collapsed="false">
      <c r="B40" s="21" t="n">
        <f aca="false">IFERROR(INDEX('💰 Dividend Income Calendar'!B9:M9,,COLUMN()-1),0)</f>
        <v>0</v>
      </c>
      <c r="C40" s="21" t="str">
        <f aca="false">IFERROR(INDEX('💰 Dividend Income Calendar'!B10:M10,,COLUMN()-1),0)</f>
        <v>Jan</v>
      </c>
      <c r="D40" s="21" t="n">
        <f aca="false">IFERROR(INDEX('💰 Dividend Income Calendar'!B11:M11,,COLUMN()-1),0)</f>
        <v>0</v>
      </c>
      <c r="E40" s="21" t="n">
        <f aca="false">IFERROR(INDEX('💰 Dividend Income Calendar'!B12:M12,,COLUMN()-1),0)</f>
        <v>74</v>
      </c>
      <c r="F40" s="21" t="n">
        <f aca="false">IFERROR(INDEX('💰 Dividend Income Calendar'!B13:M13,,COLUMN()-1),0)</f>
        <v>0</v>
      </c>
      <c r="G40" s="21" t="n">
        <f aca="false">IFERROR(INDEX('💰 Dividend Income Calendar'!B14:M14,,COLUMN()-1),0)</f>
        <v>19</v>
      </c>
      <c r="H40" s="21" t="n">
        <f aca="false">IFERROR(INDEX('💰 Dividend Income Calendar'!B15:M15,,COLUMN()-1),0)</f>
        <v>23</v>
      </c>
      <c r="I40" s="21" t="n">
        <f aca="false">IFERROR(INDEX('💰 Dividend Income Calendar'!B16:M16,,COLUMN()-1),0)</f>
        <v>78</v>
      </c>
      <c r="J40" s="21" t="n">
        <f aca="false">IFERROR(INDEX('💰 Dividend Income Calendar'!B17:M17,,COLUMN()-1),0)</f>
        <v>0</v>
      </c>
      <c r="K40" s="21" t="n">
        <f aca="false">IFERROR(INDEX('💰 Dividend Income Calendar'!B18:M18,,COLUMN()-1),0)</f>
        <v>290</v>
      </c>
      <c r="L40" s="21" t="n">
        <f aca="false">IFERROR(INDEX('💰 Dividend Income Calendar'!B19:M19,,COLUMN()-1),0)</f>
        <v>0</v>
      </c>
    </row>
    <row r="43" customFormat="false" ht="30" hidden="false" customHeight="true" outlineLevel="0" collapsed="false">
      <c r="B43" s="22" t="s">
        <v>48</v>
      </c>
      <c r="C43" s="22"/>
      <c r="D43" s="22"/>
      <c r="E43" s="22"/>
      <c r="F43" s="22"/>
      <c r="G43" s="22"/>
      <c r="H43" s="22"/>
      <c r="I43" s="22"/>
      <c r="J43" s="22"/>
      <c r="K43" s="22"/>
      <c r="L43" s="22"/>
    </row>
    <row r="44" customFormat="false" ht="30" hidden="false" customHeight="true" outlineLevel="0" collapsed="false">
      <c r="B44" s="22"/>
      <c r="C44" s="22"/>
      <c r="D44" s="22"/>
      <c r="E44" s="22"/>
      <c r="F44" s="22"/>
      <c r="G44" s="22"/>
      <c r="H44" s="22"/>
      <c r="I44" s="22"/>
      <c r="J44" s="22"/>
      <c r="K44" s="22"/>
      <c r="L44" s="22"/>
    </row>
    <row r="48" customFormat="false" ht="3" hidden="false" customHeight="true" outlineLevel="0" collapsed="false">
      <c r="A48" s="9"/>
      <c r="B48" s="9"/>
      <c r="C48" s="9"/>
      <c r="D48" s="9"/>
      <c r="E48" s="9"/>
      <c r="F48" s="9"/>
      <c r="G48" s="9"/>
      <c r="H48" s="9"/>
      <c r="I48" s="9"/>
      <c r="J48" s="9"/>
      <c r="K48" s="9"/>
      <c r="L48" s="9"/>
      <c r="M48" s="9"/>
    </row>
    <row r="49" customFormat="false" ht="21.75" hidden="false" customHeight="true" outlineLevel="0" collapsed="false">
      <c r="A49" s="23" t="s">
        <v>49</v>
      </c>
      <c r="B49" s="23"/>
      <c r="C49" s="23"/>
      <c r="D49" s="23"/>
      <c r="E49" s="23"/>
      <c r="F49" s="23"/>
      <c r="G49" s="23"/>
      <c r="H49" s="23"/>
      <c r="I49" s="23"/>
      <c r="J49" s="23"/>
      <c r="K49" s="23"/>
      <c r="L49" s="23"/>
      <c r="M49" s="23"/>
    </row>
  </sheetData>
  <mergeCells count="23">
    <mergeCell ref="A1:C1"/>
    <mergeCell ref="D1:I1"/>
    <mergeCell ref="J1:M1"/>
    <mergeCell ref="A2:B2"/>
    <mergeCell ref="C2:D2"/>
    <mergeCell ref="E2:F2"/>
    <mergeCell ref="G2:H2"/>
    <mergeCell ref="I2:J2"/>
    <mergeCell ref="K2:M2"/>
    <mergeCell ref="A3:M3"/>
    <mergeCell ref="A4:M4"/>
    <mergeCell ref="B6:L6"/>
    <mergeCell ref="B7:L7"/>
    <mergeCell ref="B8:L8"/>
    <mergeCell ref="B18:L18"/>
    <mergeCell ref="B19:L19"/>
    <mergeCell ref="B20:L20"/>
    <mergeCell ref="B35:L35"/>
    <mergeCell ref="B36:L36"/>
    <mergeCell ref="B37:L37"/>
    <mergeCell ref="B43:L44"/>
    <mergeCell ref="A48:M48"/>
    <mergeCell ref="A49:M49"/>
  </mergeCells>
  <conditionalFormatting sqref="F11:F15">
    <cfRule type="containsText" priority="2" operator="containsText" aboveAverage="0" equalAverage="0" bottom="0" percent="0" rank="0" text="" dxfId="0">
      <formula>NOT(ISERROR(SEARCH("",F11)))</formula>
    </cfRule>
    <cfRule type="containsText" priority="3" operator="containsText" aboveAverage="0" equalAverage="0" bottom="0" percent="0" rank="0" text="" dxfId="1">
      <formula>NOT(ISERROR(SEARCH("",F11)))</formula>
    </cfRule>
    <cfRule type="containsText" priority="4" operator="containsText" aboveAverage="0" equalAverage="0" bottom="0" percent="0" rank="0" text="" dxfId="2">
      <formula>NOT(ISERROR(SEARCH("",F11)))</formula>
    </cfRule>
  </conditionalFormatting>
  <conditionalFormatting sqref="G23:G32">
    <cfRule type="containsText" priority="5" operator="containsText" aboveAverage="0" equalAverage="0" bottom="0" percent="0" rank="0" text="" dxfId="0">
      <formula>NOT(ISERROR(SEARCH("",G23)))</formula>
    </cfRule>
    <cfRule type="containsText" priority="6" operator="containsText" aboveAverage="0" equalAverage="0" bottom="0" percent="0" rank="0" text="" dxfId="1">
      <formula>NOT(ISERROR(SEARCH("",G23)))</formula>
    </cfRule>
    <cfRule type="containsText" priority="7" operator="containsText" aboveAverage="0" equalAverage="0" bottom="0" percent="0" rank="0" text="" dxfId="2">
      <formula>NOT(ISERROR(SEARCH("",G23)))</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6B4D"/>
    <pageSetUpPr fitToPage="false"/>
  </sheetPr>
  <dimension ref="A1:M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6"/>
    <col collapsed="false" customWidth="true" hidden="false" outlineLevel="0" max="4" min="4" style="0" width="14"/>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50</v>
      </c>
      <c r="K1" s="3"/>
      <c r="L1" s="3"/>
      <c r="M1" s="3"/>
    </row>
    <row r="2" customFormat="false" ht="54" hidden="false" customHeight="true" outlineLevel="0" collapsed="false">
      <c r="A2" s="4" t="str">
        <f aca="false">"POSITIONS"&amp;CHAR(10)&amp;(COUNTA(B9:B68))</f>
        <v>POSITIONS
3</v>
      </c>
      <c r="B2" s="4"/>
      <c r="C2" s="4" t="str">
        <f aca="false">"TOTAL VALUE"&amp;CHAR(10)&amp;(TEXT(SUM(J9:J68),"$#,##0"))</f>
        <v>TOTAL VALUE
$107,390</v>
      </c>
      <c r="D2" s="4"/>
      <c r="E2" s="4" t="str">
        <f aca="false">"COST BASIS"&amp;CHAR(10)&amp;(TEXT(SUM(H9:H68),"$#,##0"))</f>
        <v>COST BASIS
$107,390</v>
      </c>
      <c r="F2" s="4"/>
      <c r="G2" s="4" t="str">
        <f aca="false">"UNREALIZED"&amp;CHAR(10)&amp;(TEXT(SUM(K9:K68),"+$#,##0;-$#,##0"))</f>
        <v>UNREALIZED
+$0</v>
      </c>
      <c r="H2" s="4"/>
      <c r="I2" s="4" t="str">
        <f aca="false">"WINNERS"&amp;CHAR(10)&amp;(COUNTIF(K9:K68,"&gt;0"))</f>
        <v>WINNERS
0</v>
      </c>
      <c r="J2" s="4"/>
      <c r="K2" s="4" t="str">
        <f aca="false">"LOSERS"&amp;CHAR(10)&amp;(COUNTIF(K9:K68,"&lt;0"))</f>
        <v>LOSERS
0</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51</v>
      </c>
      <c r="B4" s="6"/>
      <c r="C4" s="6"/>
      <c r="D4" s="6"/>
      <c r="E4" s="6"/>
      <c r="F4" s="6"/>
      <c r="G4" s="6"/>
      <c r="H4" s="6"/>
      <c r="I4" s="6"/>
      <c r="J4" s="6"/>
      <c r="K4" s="6"/>
      <c r="L4" s="6"/>
      <c r="M4" s="6"/>
    </row>
    <row r="6" customFormat="false" ht="25.5" hidden="false" customHeight="true" outlineLevel="0" collapsed="false">
      <c r="B6" s="7" t="s">
        <v>52</v>
      </c>
      <c r="C6" s="7"/>
      <c r="D6" s="7"/>
      <c r="E6" s="7"/>
      <c r="F6" s="7"/>
      <c r="G6" s="7"/>
      <c r="H6" s="7"/>
      <c r="I6" s="7"/>
      <c r="J6" s="7"/>
      <c r="K6" s="7"/>
      <c r="L6" s="7"/>
    </row>
    <row r="7" customFormat="false" ht="18" hidden="false" customHeight="true" outlineLevel="0" collapsed="false">
      <c r="B7" s="8" t="s">
        <v>53</v>
      </c>
      <c r="C7" s="8"/>
      <c r="D7" s="8"/>
      <c r="E7" s="8"/>
      <c r="F7" s="8"/>
      <c r="G7" s="8"/>
      <c r="H7" s="8"/>
      <c r="I7" s="8"/>
      <c r="J7" s="8"/>
      <c r="K7" s="8"/>
      <c r="L7" s="8"/>
    </row>
    <row r="8" customFormat="false" ht="24" hidden="false" customHeight="true" outlineLevel="0" collapsed="false">
      <c r="B8" s="11" t="s">
        <v>54</v>
      </c>
      <c r="C8" s="11"/>
      <c r="D8" s="11"/>
      <c r="E8" s="11"/>
      <c r="F8" s="11"/>
      <c r="G8" s="11"/>
      <c r="H8" s="11"/>
      <c r="I8" s="11"/>
      <c r="J8" s="11"/>
      <c r="K8" s="11"/>
      <c r="L8" s="11"/>
    </row>
    <row r="9" customFormat="false" ht="16.9" hidden="false" customHeight="false" outlineLevel="0" collapsed="false">
      <c r="B9" s="24" t="s">
        <v>55</v>
      </c>
      <c r="C9" s="25" t="s">
        <v>56</v>
      </c>
      <c r="D9" s="25" t="s">
        <v>26</v>
      </c>
      <c r="E9" s="26" t="n">
        <v>250</v>
      </c>
      <c r="F9" s="27" t="n">
        <v>285</v>
      </c>
      <c r="G9" s="28" t="s">
        <v>57</v>
      </c>
      <c r="H9" s="17" t="n">
        <f aca="false">IFERROR(E9*F9,"")</f>
        <v>71250</v>
      </c>
      <c r="I9" s="29" t="n">
        <v>285</v>
      </c>
      <c r="J9" s="30" t="n">
        <f aca="false">IFERROR(E9*I9,"")</f>
        <v>71250</v>
      </c>
      <c r="K9" s="31" t="n">
        <f aca="false">IFERROR(J9-H9,"")</f>
        <v>0</v>
      </c>
      <c r="L9" s="32" t="n">
        <f aca="false">IFERROR(K9/H9,"")</f>
        <v>0</v>
      </c>
    </row>
    <row r="10" customFormat="false" ht="24" hidden="false" customHeight="true" outlineLevel="0" collapsed="false">
      <c r="B10" s="24" t="s">
        <v>58</v>
      </c>
      <c r="C10" s="25" t="s">
        <v>56</v>
      </c>
      <c r="D10" s="25" t="s">
        <v>26</v>
      </c>
      <c r="E10" s="26" t="n">
        <v>350</v>
      </c>
      <c r="F10" s="27" t="n">
        <v>62</v>
      </c>
      <c r="G10" s="28" t="s">
        <v>57</v>
      </c>
      <c r="H10" s="17" t="n">
        <f aca="false">IFERROR(E10*F10,"")</f>
        <v>21700</v>
      </c>
      <c r="I10" s="29" t="n">
        <v>62</v>
      </c>
      <c r="J10" s="30" t="n">
        <f aca="false">IFERROR(E10*I10,"")</f>
        <v>21700</v>
      </c>
      <c r="K10" s="31" t="n">
        <f aca="false">IFERROR(J10-H10,"")</f>
        <v>0</v>
      </c>
      <c r="L10" s="32" t="n">
        <f aca="false">IFERROR(K10/H10,"")</f>
        <v>0</v>
      </c>
    </row>
    <row r="11" customFormat="false" ht="16.9" hidden="false" customHeight="false" outlineLevel="0" collapsed="false">
      <c r="B11" s="24" t="s">
        <v>59</v>
      </c>
      <c r="C11" s="25" t="s">
        <v>56</v>
      </c>
      <c r="D11" s="25" t="s">
        <v>28</v>
      </c>
      <c r="E11" s="26" t="n">
        <v>200</v>
      </c>
      <c r="F11" s="27" t="n">
        <v>72.2</v>
      </c>
      <c r="G11" s="28" t="s">
        <v>57</v>
      </c>
      <c r="H11" s="17" t="n">
        <f aca="false">IFERROR(E11*F11,"")</f>
        <v>14440</v>
      </c>
      <c r="I11" s="29" t="n">
        <v>72.2</v>
      </c>
      <c r="J11" s="30" t="n">
        <f aca="false">IFERROR(E11*I11,"")</f>
        <v>14440</v>
      </c>
      <c r="K11" s="31" t="n">
        <f aca="false">IFERROR(J11-H11,"")</f>
        <v>0</v>
      </c>
      <c r="L11" s="32" t="n">
        <f aca="false">IFERROR(K11/H11,"")</f>
        <v>0</v>
      </c>
    </row>
    <row r="12" customFormat="false" ht="16.9" hidden="false" customHeight="false" outlineLevel="0" collapsed="false">
      <c r="B12" s="24"/>
      <c r="C12" s="25"/>
      <c r="D12" s="25"/>
      <c r="E12" s="26"/>
      <c r="F12" s="27"/>
      <c r="G12" s="28"/>
      <c r="H12" s="17" t="n">
        <f aca="false">IFERROR(E12*F12,"")</f>
        <v>0</v>
      </c>
      <c r="I12" s="29"/>
      <c r="J12" s="30" t="n">
        <f aca="false">IFERROR(E12*I12,"")</f>
        <v>0</v>
      </c>
      <c r="K12" s="31" t="n">
        <f aca="false">IFERROR(J12-H12,"")</f>
        <v>0</v>
      </c>
      <c r="L12" s="32" t="str">
        <f aca="false">IFERROR(K12/H12,"")</f>
        <v/>
      </c>
    </row>
    <row r="13" customFormat="false" ht="16.9" hidden="false" customHeight="false" outlineLevel="0" collapsed="false">
      <c r="B13" s="24"/>
      <c r="C13" s="25"/>
      <c r="D13" s="25"/>
      <c r="E13" s="26"/>
      <c r="F13" s="27"/>
      <c r="G13" s="28"/>
      <c r="H13" s="17" t="n">
        <f aca="false">IFERROR(E13*F13,"")</f>
        <v>0</v>
      </c>
      <c r="I13" s="29"/>
      <c r="J13" s="30" t="n">
        <f aca="false">IFERROR(E13*I13,"")</f>
        <v>0</v>
      </c>
      <c r="K13" s="31" t="n">
        <f aca="false">IFERROR(J13-H13,"")</f>
        <v>0</v>
      </c>
      <c r="L13" s="32" t="str">
        <f aca="false">IFERROR(K13/H13,"")</f>
        <v/>
      </c>
    </row>
    <row r="14" customFormat="false" ht="16.9" hidden="false" customHeight="false" outlineLevel="0" collapsed="false">
      <c r="B14" s="24"/>
      <c r="C14" s="25"/>
      <c r="D14" s="25"/>
      <c r="E14" s="26"/>
      <c r="F14" s="27"/>
      <c r="G14" s="28"/>
      <c r="H14" s="17" t="n">
        <f aca="false">IFERROR(E14*F14,"")</f>
        <v>0</v>
      </c>
      <c r="I14" s="29"/>
      <c r="J14" s="30" t="n">
        <f aca="false">IFERROR(E14*I14,"")</f>
        <v>0</v>
      </c>
      <c r="K14" s="31" t="n">
        <f aca="false">IFERROR(J14-H14,"")</f>
        <v>0</v>
      </c>
      <c r="L14" s="32" t="str">
        <f aca="false">IFERROR(K14/H14,"")</f>
        <v/>
      </c>
    </row>
    <row r="15" customFormat="false" ht="16.9" hidden="false" customHeight="false" outlineLevel="0" collapsed="false">
      <c r="B15" s="24"/>
      <c r="C15" s="25"/>
      <c r="D15" s="25"/>
      <c r="E15" s="26"/>
      <c r="F15" s="27"/>
      <c r="G15" s="28"/>
      <c r="H15" s="17" t="n">
        <f aca="false">IFERROR(E15*F15,"")</f>
        <v>0</v>
      </c>
      <c r="I15" s="29"/>
      <c r="J15" s="30" t="n">
        <f aca="false">IFERROR(E15*I15,"")</f>
        <v>0</v>
      </c>
      <c r="K15" s="31" t="n">
        <f aca="false">IFERROR(J15-H15,"")</f>
        <v>0</v>
      </c>
      <c r="L15" s="32" t="str">
        <f aca="false">IFERROR(K15/H15,"")</f>
        <v/>
      </c>
    </row>
    <row r="16" customFormat="false" ht="16.9" hidden="false" customHeight="false" outlineLevel="0" collapsed="false">
      <c r="B16" s="24"/>
      <c r="C16" s="25"/>
      <c r="D16" s="25"/>
      <c r="E16" s="26"/>
      <c r="F16" s="27"/>
      <c r="G16" s="28"/>
      <c r="H16" s="17" t="n">
        <f aca="false">IFERROR(E16*F16,"")</f>
        <v>0</v>
      </c>
      <c r="I16" s="29"/>
      <c r="J16" s="30" t="n">
        <f aca="false">IFERROR(E16*I16,"")</f>
        <v>0</v>
      </c>
      <c r="K16" s="31" t="n">
        <f aca="false">IFERROR(J16-H16,"")</f>
        <v>0</v>
      </c>
      <c r="L16" s="32" t="str">
        <f aca="false">IFERROR(K16/H16,"")</f>
        <v/>
      </c>
    </row>
    <row r="17" customFormat="false" ht="16.9" hidden="false" customHeight="false" outlineLevel="0" collapsed="false">
      <c r="B17" s="24"/>
      <c r="C17" s="25"/>
      <c r="D17" s="25"/>
      <c r="E17" s="26"/>
      <c r="F17" s="27"/>
      <c r="G17" s="28"/>
      <c r="H17" s="17" t="n">
        <f aca="false">IFERROR(E17*F17,"")</f>
        <v>0</v>
      </c>
      <c r="I17" s="29"/>
      <c r="J17" s="30" t="n">
        <f aca="false">IFERROR(E17*I17,"")</f>
        <v>0</v>
      </c>
      <c r="K17" s="31" t="n">
        <f aca="false">IFERROR(J17-H17,"")</f>
        <v>0</v>
      </c>
      <c r="L17" s="32" t="str">
        <f aca="false">IFERROR(K17/H17,"")</f>
        <v/>
      </c>
    </row>
    <row r="18" customFormat="false" ht="16.9" hidden="false" customHeight="false" outlineLevel="0" collapsed="false">
      <c r="B18" s="24"/>
      <c r="C18" s="25"/>
      <c r="D18" s="25"/>
      <c r="E18" s="26"/>
      <c r="F18" s="27"/>
      <c r="G18" s="28"/>
      <c r="H18" s="17" t="n">
        <f aca="false">IFERROR(E18*F18,"")</f>
        <v>0</v>
      </c>
      <c r="I18" s="29"/>
      <c r="J18" s="30" t="n">
        <f aca="false">IFERROR(E18*I18,"")</f>
        <v>0</v>
      </c>
      <c r="K18" s="31" t="n">
        <f aca="false">IFERROR(J18-H18,"")</f>
        <v>0</v>
      </c>
      <c r="L18" s="32" t="str">
        <f aca="false">IFERROR(K18/H18,"")</f>
        <v/>
      </c>
    </row>
    <row r="19" customFormat="false" ht="16.9" hidden="false" customHeight="false" outlineLevel="0" collapsed="false">
      <c r="B19" s="24"/>
      <c r="C19" s="25"/>
      <c r="D19" s="25"/>
      <c r="E19" s="26"/>
      <c r="F19" s="27"/>
      <c r="G19" s="28"/>
      <c r="H19" s="17" t="n">
        <f aca="false">IFERROR(E19*F19,"")</f>
        <v>0</v>
      </c>
      <c r="I19" s="29"/>
      <c r="J19" s="30" t="n">
        <f aca="false">IFERROR(E19*I19,"")</f>
        <v>0</v>
      </c>
      <c r="K19" s="31" t="n">
        <f aca="false">IFERROR(J19-H19,"")</f>
        <v>0</v>
      </c>
      <c r="L19" s="32" t="str">
        <f aca="false">IFERROR(K19/H19,"")</f>
        <v/>
      </c>
    </row>
    <row r="20" customFormat="false" ht="16.9" hidden="false" customHeight="false" outlineLevel="0" collapsed="false">
      <c r="B20" s="24"/>
      <c r="C20" s="25"/>
      <c r="D20" s="25"/>
      <c r="E20" s="26"/>
      <c r="F20" s="27"/>
      <c r="G20" s="28"/>
      <c r="H20" s="17" t="n">
        <f aca="false">IFERROR(E20*F20,"")</f>
        <v>0</v>
      </c>
      <c r="I20" s="29"/>
      <c r="J20" s="30" t="n">
        <f aca="false">IFERROR(E20*I20,"")</f>
        <v>0</v>
      </c>
      <c r="K20" s="31" t="n">
        <f aca="false">IFERROR(J20-H20,"")</f>
        <v>0</v>
      </c>
      <c r="L20" s="32" t="str">
        <f aca="false">IFERROR(K20/H20,"")</f>
        <v/>
      </c>
    </row>
    <row r="21" customFormat="false" ht="16.9" hidden="false" customHeight="false" outlineLevel="0" collapsed="false">
      <c r="B21" s="24"/>
      <c r="C21" s="25"/>
      <c r="D21" s="25"/>
      <c r="E21" s="26"/>
      <c r="F21" s="27"/>
      <c r="G21" s="28"/>
      <c r="H21" s="17" t="n">
        <f aca="false">IFERROR(E21*F21,"")</f>
        <v>0</v>
      </c>
      <c r="I21" s="29"/>
      <c r="J21" s="30" t="n">
        <f aca="false">IFERROR(E21*I21,"")</f>
        <v>0</v>
      </c>
      <c r="K21" s="31" t="n">
        <f aca="false">IFERROR(J21-H21,"")</f>
        <v>0</v>
      </c>
      <c r="L21" s="32" t="str">
        <f aca="false">IFERROR(K21/H21,"")</f>
        <v/>
      </c>
    </row>
    <row r="22" customFormat="false" ht="16.9" hidden="false" customHeight="false" outlineLevel="0" collapsed="false">
      <c r="B22" s="24"/>
      <c r="C22" s="25"/>
      <c r="D22" s="25"/>
      <c r="E22" s="26"/>
      <c r="F22" s="27"/>
      <c r="G22" s="28"/>
      <c r="H22" s="17" t="n">
        <f aca="false">IFERROR(E22*F22,"")</f>
        <v>0</v>
      </c>
      <c r="I22" s="29"/>
      <c r="J22" s="30" t="n">
        <f aca="false">IFERROR(E22*I22,"")</f>
        <v>0</v>
      </c>
      <c r="K22" s="31" t="n">
        <f aca="false">IFERROR(J22-H22,"")</f>
        <v>0</v>
      </c>
      <c r="L22" s="32" t="str">
        <f aca="false">IFERROR(K22/H22,"")</f>
        <v/>
      </c>
    </row>
    <row r="23" customFormat="false" ht="16.9" hidden="false" customHeight="false" outlineLevel="0" collapsed="false">
      <c r="B23" s="24"/>
      <c r="C23" s="25"/>
      <c r="D23" s="25"/>
      <c r="E23" s="26"/>
      <c r="F23" s="27"/>
      <c r="G23" s="28"/>
      <c r="H23" s="17" t="n">
        <f aca="false">IFERROR(E23*F23,"")</f>
        <v>0</v>
      </c>
      <c r="I23" s="29"/>
      <c r="J23" s="30" t="n">
        <f aca="false">IFERROR(E23*I23,"")</f>
        <v>0</v>
      </c>
      <c r="K23" s="31" t="n">
        <f aca="false">IFERROR(J23-H23,"")</f>
        <v>0</v>
      </c>
      <c r="L23" s="32" t="str">
        <f aca="false">IFERROR(K23/H23,"")</f>
        <v/>
      </c>
    </row>
    <row r="24" customFormat="false" ht="16.9" hidden="false" customHeight="false" outlineLevel="0" collapsed="false">
      <c r="B24" s="24"/>
      <c r="C24" s="25"/>
      <c r="D24" s="25"/>
      <c r="E24" s="26"/>
      <c r="F24" s="27"/>
      <c r="G24" s="28"/>
      <c r="H24" s="17" t="n">
        <f aca="false">IFERROR(E24*F24,"")</f>
        <v>0</v>
      </c>
      <c r="I24" s="29"/>
      <c r="J24" s="30" t="n">
        <f aca="false">IFERROR(E24*I24,"")</f>
        <v>0</v>
      </c>
      <c r="K24" s="31" t="n">
        <f aca="false">IFERROR(J24-H24,"")</f>
        <v>0</v>
      </c>
      <c r="L24" s="32" t="str">
        <f aca="false">IFERROR(K24/H24,"")</f>
        <v/>
      </c>
    </row>
    <row r="25" customFormat="false" ht="16.9" hidden="false" customHeight="false" outlineLevel="0" collapsed="false">
      <c r="B25" s="24"/>
      <c r="C25" s="25"/>
      <c r="D25" s="25"/>
      <c r="E25" s="26"/>
      <c r="F25" s="27"/>
      <c r="G25" s="28"/>
      <c r="H25" s="17" t="n">
        <f aca="false">IFERROR(E25*F25,"")</f>
        <v>0</v>
      </c>
      <c r="I25" s="29"/>
      <c r="J25" s="30" t="n">
        <f aca="false">IFERROR(E25*I25,"")</f>
        <v>0</v>
      </c>
      <c r="K25" s="31" t="n">
        <f aca="false">IFERROR(J25-H25,"")</f>
        <v>0</v>
      </c>
      <c r="L25" s="32" t="str">
        <f aca="false">IFERROR(K25/H25,"")</f>
        <v/>
      </c>
    </row>
    <row r="26" customFormat="false" ht="16.9" hidden="false" customHeight="false" outlineLevel="0" collapsed="false">
      <c r="B26" s="24"/>
      <c r="C26" s="25"/>
      <c r="D26" s="25"/>
      <c r="E26" s="26"/>
      <c r="F26" s="27"/>
      <c r="G26" s="28"/>
      <c r="H26" s="17" t="n">
        <f aca="false">IFERROR(E26*F26,"")</f>
        <v>0</v>
      </c>
      <c r="I26" s="29"/>
      <c r="J26" s="30" t="n">
        <f aca="false">IFERROR(E26*I26,"")</f>
        <v>0</v>
      </c>
      <c r="K26" s="31" t="n">
        <f aca="false">IFERROR(J26-H26,"")</f>
        <v>0</v>
      </c>
      <c r="L26" s="32" t="str">
        <f aca="false">IFERROR(K26/H26,"")</f>
        <v/>
      </c>
    </row>
    <row r="27" customFormat="false" ht="16.9" hidden="false" customHeight="false" outlineLevel="0" collapsed="false">
      <c r="B27" s="24"/>
      <c r="C27" s="25"/>
      <c r="D27" s="25"/>
      <c r="E27" s="26"/>
      <c r="F27" s="27"/>
      <c r="G27" s="28"/>
      <c r="H27" s="17" t="n">
        <f aca="false">IFERROR(E27*F27,"")</f>
        <v>0</v>
      </c>
      <c r="I27" s="29"/>
      <c r="J27" s="30" t="n">
        <f aca="false">IFERROR(E27*I27,"")</f>
        <v>0</v>
      </c>
      <c r="K27" s="31" t="n">
        <f aca="false">IFERROR(J27-H27,"")</f>
        <v>0</v>
      </c>
      <c r="L27" s="32" t="str">
        <f aca="false">IFERROR(K27/H27,"")</f>
        <v/>
      </c>
    </row>
    <row r="28" customFormat="false" ht="16.9" hidden="false" customHeight="false" outlineLevel="0" collapsed="false">
      <c r="B28" s="24"/>
      <c r="C28" s="25"/>
      <c r="D28" s="25"/>
      <c r="E28" s="26"/>
      <c r="F28" s="27"/>
      <c r="G28" s="28"/>
      <c r="H28" s="17" t="n">
        <f aca="false">IFERROR(E28*F28,"")</f>
        <v>0</v>
      </c>
      <c r="I28" s="29"/>
      <c r="J28" s="30" t="n">
        <f aca="false">IFERROR(E28*I28,"")</f>
        <v>0</v>
      </c>
      <c r="K28" s="31" t="n">
        <f aca="false">IFERROR(J28-H28,"")</f>
        <v>0</v>
      </c>
      <c r="L28" s="32" t="str">
        <f aca="false">IFERROR(K28/H28,"")</f>
        <v/>
      </c>
    </row>
    <row r="29" customFormat="false" ht="16.9" hidden="false" customHeight="false" outlineLevel="0" collapsed="false">
      <c r="B29" s="24"/>
      <c r="C29" s="25"/>
      <c r="D29" s="25"/>
      <c r="E29" s="26"/>
      <c r="F29" s="27"/>
      <c r="G29" s="28"/>
      <c r="H29" s="17" t="n">
        <f aca="false">IFERROR(E29*F29,"")</f>
        <v>0</v>
      </c>
      <c r="I29" s="29"/>
      <c r="J29" s="30" t="n">
        <f aca="false">IFERROR(E29*I29,"")</f>
        <v>0</v>
      </c>
      <c r="K29" s="31" t="n">
        <f aca="false">IFERROR(J29-H29,"")</f>
        <v>0</v>
      </c>
      <c r="L29" s="32" t="str">
        <f aca="false">IFERROR(K29/H29,"")</f>
        <v/>
      </c>
    </row>
    <row r="30" customFormat="false" ht="16.9" hidden="false" customHeight="false" outlineLevel="0" collapsed="false">
      <c r="B30" s="24"/>
      <c r="C30" s="25"/>
      <c r="D30" s="25"/>
      <c r="E30" s="26"/>
      <c r="F30" s="27"/>
      <c r="G30" s="28"/>
      <c r="H30" s="17" t="n">
        <f aca="false">IFERROR(E30*F30,"")</f>
        <v>0</v>
      </c>
      <c r="I30" s="29"/>
      <c r="J30" s="30" t="n">
        <f aca="false">IFERROR(E30*I30,"")</f>
        <v>0</v>
      </c>
      <c r="K30" s="31" t="n">
        <f aca="false">IFERROR(J30-H30,"")</f>
        <v>0</v>
      </c>
      <c r="L30" s="32" t="str">
        <f aca="false">IFERROR(K30/H30,"")</f>
        <v/>
      </c>
    </row>
    <row r="31" customFormat="false" ht="16.9" hidden="false" customHeight="false" outlineLevel="0" collapsed="false">
      <c r="B31" s="24"/>
      <c r="C31" s="25"/>
      <c r="D31" s="25"/>
      <c r="E31" s="26"/>
      <c r="F31" s="27"/>
      <c r="G31" s="28"/>
      <c r="H31" s="17" t="n">
        <f aca="false">IFERROR(E31*F31,"")</f>
        <v>0</v>
      </c>
      <c r="I31" s="29"/>
      <c r="J31" s="30" t="n">
        <f aca="false">IFERROR(E31*I31,"")</f>
        <v>0</v>
      </c>
      <c r="K31" s="31" t="n">
        <f aca="false">IFERROR(J31-H31,"")</f>
        <v>0</v>
      </c>
      <c r="L31" s="32" t="str">
        <f aca="false">IFERROR(K31/H31,"")</f>
        <v/>
      </c>
    </row>
    <row r="32" customFormat="false" ht="16.9" hidden="false" customHeight="false" outlineLevel="0" collapsed="false">
      <c r="B32" s="24"/>
      <c r="C32" s="25"/>
      <c r="D32" s="25"/>
      <c r="E32" s="26"/>
      <c r="F32" s="27"/>
      <c r="G32" s="28"/>
      <c r="H32" s="17" t="n">
        <f aca="false">IFERROR(E32*F32,"")</f>
        <v>0</v>
      </c>
      <c r="I32" s="29"/>
      <c r="J32" s="30" t="n">
        <f aca="false">IFERROR(E32*I32,"")</f>
        <v>0</v>
      </c>
      <c r="K32" s="31" t="n">
        <f aca="false">IFERROR(J32-H32,"")</f>
        <v>0</v>
      </c>
      <c r="L32" s="32" t="str">
        <f aca="false">IFERROR(K32/H32,"")</f>
        <v/>
      </c>
    </row>
    <row r="33" customFormat="false" ht="16.9" hidden="false" customHeight="false" outlineLevel="0" collapsed="false">
      <c r="B33" s="24"/>
      <c r="C33" s="25"/>
      <c r="D33" s="25"/>
      <c r="E33" s="26"/>
      <c r="F33" s="27"/>
      <c r="G33" s="28"/>
      <c r="H33" s="17" t="n">
        <f aca="false">IFERROR(E33*F33,"")</f>
        <v>0</v>
      </c>
      <c r="I33" s="29"/>
      <c r="J33" s="30" t="n">
        <f aca="false">IFERROR(E33*I33,"")</f>
        <v>0</v>
      </c>
      <c r="K33" s="31" t="n">
        <f aca="false">IFERROR(J33-H33,"")</f>
        <v>0</v>
      </c>
      <c r="L33" s="32" t="str">
        <f aca="false">IFERROR(K33/H33,"")</f>
        <v/>
      </c>
    </row>
    <row r="34" customFormat="false" ht="16.9" hidden="false" customHeight="false" outlineLevel="0" collapsed="false">
      <c r="B34" s="24"/>
      <c r="C34" s="25"/>
      <c r="D34" s="25"/>
      <c r="E34" s="26"/>
      <c r="F34" s="27"/>
      <c r="G34" s="28"/>
      <c r="H34" s="17" t="n">
        <f aca="false">IFERROR(E34*F34,"")</f>
        <v>0</v>
      </c>
      <c r="I34" s="29"/>
      <c r="J34" s="30" t="n">
        <f aca="false">IFERROR(E34*I34,"")</f>
        <v>0</v>
      </c>
      <c r="K34" s="31" t="n">
        <f aca="false">IFERROR(J34-H34,"")</f>
        <v>0</v>
      </c>
      <c r="L34" s="32" t="str">
        <f aca="false">IFERROR(K34/H34,"")</f>
        <v/>
      </c>
    </row>
    <row r="35" customFormat="false" ht="16.9" hidden="false" customHeight="false" outlineLevel="0" collapsed="false">
      <c r="B35" s="24"/>
      <c r="C35" s="25"/>
      <c r="D35" s="25"/>
      <c r="E35" s="26"/>
      <c r="F35" s="27"/>
      <c r="G35" s="28"/>
      <c r="H35" s="17" t="n">
        <f aca="false">IFERROR(E35*F35,"")</f>
        <v>0</v>
      </c>
      <c r="I35" s="29"/>
      <c r="J35" s="30" t="n">
        <f aca="false">IFERROR(E35*I35,"")</f>
        <v>0</v>
      </c>
      <c r="K35" s="31" t="n">
        <f aca="false">IFERROR(J35-H35,"")</f>
        <v>0</v>
      </c>
      <c r="L35" s="32" t="str">
        <f aca="false">IFERROR(K35/H35,"")</f>
        <v/>
      </c>
    </row>
    <row r="36" customFormat="false" ht="16.9" hidden="false" customHeight="false" outlineLevel="0" collapsed="false">
      <c r="B36" s="24"/>
      <c r="C36" s="25"/>
      <c r="D36" s="25"/>
      <c r="E36" s="26"/>
      <c r="F36" s="27"/>
      <c r="G36" s="28"/>
      <c r="H36" s="17" t="n">
        <f aca="false">IFERROR(E36*F36,"")</f>
        <v>0</v>
      </c>
      <c r="I36" s="29"/>
      <c r="J36" s="30" t="n">
        <f aca="false">IFERROR(E36*I36,"")</f>
        <v>0</v>
      </c>
      <c r="K36" s="31" t="n">
        <f aca="false">IFERROR(J36-H36,"")</f>
        <v>0</v>
      </c>
      <c r="L36" s="32" t="str">
        <f aca="false">IFERROR(K36/H36,"")</f>
        <v/>
      </c>
    </row>
    <row r="37" customFormat="false" ht="16.9" hidden="false" customHeight="false" outlineLevel="0" collapsed="false">
      <c r="B37" s="24"/>
      <c r="C37" s="25"/>
      <c r="D37" s="25"/>
      <c r="E37" s="26"/>
      <c r="F37" s="27"/>
      <c r="G37" s="28"/>
      <c r="H37" s="17" t="n">
        <f aca="false">IFERROR(E37*F37,"")</f>
        <v>0</v>
      </c>
      <c r="I37" s="29"/>
      <c r="J37" s="30" t="n">
        <f aca="false">IFERROR(E37*I37,"")</f>
        <v>0</v>
      </c>
      <c r="K37" s="31" t="n">
        <f aca="false">IFERROR(J37-H37,"")</f>
        <v>0</v>
      </c>
      <c r="L37" s="32" t="str">
        <f aca="false">IFERROR(K37/H37,"")</f>
        <v/>
      </c>
    </row>
    <row r="38" customFormat="false" ht="16.9" hidden="false" customHeight="false" outlineLevel="0" collapsed="false">
      <c r="B38" s="24"/>
      <c r="C38" s="25"/>
      <c r="D38" s="25"/>
      <c r="E38" s="26"/>
      <c r="F38" s="27"/>
      <c r="G38" s="28"/>
      <c r="H38" s="17" t="n">
        <f aca="false">IFERROR(E38*F38,"")</f>
        <v>0</v>
      </c>
      <c r="I38" s="29"/>
      <c r="J38" s="30" t="n">
        <f aca="false">IFERROR(E38*I38,"")</f>
        <v>0</v>
      </c>
      <c r="K38" s="31" t="n">
        <f aca="false">IFERROR(J38-H38,"")</f>
        <v>0</v>
      </c>
      <c r="L38" s="32" t="str">
        <f aca="false">IFERROR(K38/H38,"")</f>
        <v/>
      </c>
    </row>
    <row r="39" customFormat="false" ht="16.9" hidden="false" customHeight="false" outlineLevel="0" collapsed="false">
      <c r="B39" s="24"/>
      <c r="C39" s="25"/>
      <c r="D39" s="25"/>
      <c r="E39" s="26"/>
      <c r="F39" s="27"/>
      <c r="G39" s="28"/>
      <c r="H39" s="17" t="n">
        <f aca="false">IFERROR(E39*F39,"")</f>
        <v>0</v>
      </c>
      <c r="I39" s="29"/>
      <c r="J39" s="30" t="n">
        <f aca="false">IFERROR(E39*I39,"")</f>
        <v>0</v>
      </c>
      <c r="K39" s="31" t="n">
        <f aca="false">IFERROR(J39-H39,"")</f>
        <v>0</v>
      </c>
      <c r="L39" s="32" t="str">
        <f aca="false">IFERROR(K39/H39,"")</f>
        <v/>
      </c>
    </row>
    <row r="40" customFormat="false" ht="16.9" hidden="false" customHeight="false" outlineLevel="0" collapsed="false">
      <c r="B40" s="24"/>
      <c r="C40" s="25"/>
      <c r="D40" s="25"/>
      <c r="E40" s="26"/>
      <c r="F40" s="27"/>
      <c r="G40" s="28"/>
      <c r="H40" s="17" t="n">
        <f aca="false">IFERROR(E40*F40,"")</f>
        <v>0</v>
      </c>
      <c r="I40" s="29"/>
      <c r="J40" s="30" t="n">
        <f aca="false">IFERROR(E40*I40,"")</f>
        <v>0</v>
      </c>
      <c r="K40" s="31" t="n">
        <f aca="false">IFERROR(J40-H40,"")</f>
        <v>0</v>
      </c>
      <c r="L40" s="32" t="str">
        <f aca="false">IFERROR(K40/H40,"")</f>
        <v/>
      </c>
    </row>
    <row r="41" customFormat="false" ht="16.9" hidden="false" customHeight="false" outlineLevel="0" collapsed="false">
      <c r="B41" s="24"/>
      <c r="C41" s="25"/>
      <c r="D41" s="25"/>
      <c r="E41" s="26"/>
      <c r="F41" s="27"/>
      <c r="G41" s="28"/>
      <c r="H41" s="17" t="n">
        <f aca="false">IFERROR(E41*F41,"")</f>
        <v>0</v>
      </c>
      <c r="I41" s="29"/>
      <c r="J41" s="30" t="n">
        <f aca="false">IFERROR(E41*I41,"")</f>
        <v>0</v>
      </c>
      <c r="K41" s="31" t="n">
        <f aca="false">IFERROR(J41-H41,"")</f>
        <v>0</v>
      </c>
      <c r="L41" s="32" t="str">
        <f aca="false">IFERROR(K41/H41,"")</f>
        <v/>
      </c>
    </row>
    <row r="42" customFormat="false" ht="16.9" hidden="false" customHeight="false" outlineLevel="0" collapsed="false">
      <c r="B42" s="24"/>
      <c r="C42" s="25"/>
      <c r="D42" s="25"/>
      <c r="E42" s="26"/>
      <c r="F42" s="27"/>
      <c r="G42" s="28"/>
      <c r="H42" s="17" t="n">
        <f aca="false">IFERROR(E42*F42,"")</f>
        <v>0</v>
      </c>
      <c r="I42" s="29"/>
      <c r="J42" s="30" t="n">
        <f aca="false">IFERROR(E42*I42,"")</f>
        <v>0</v>
      </c>
      <c r="K42" s="31" t="n">
        <f aca="false">IFERROR(J42-H42,"")</f>
        <v>0</v>
      </c>
      <c r="L42" s="32" t="str">
        <f aca="false">IFERROR(K42/H42,"")</f>
        <v/>
      </c>
    </row>
    <row r="43" customFormat="false" ht="16.9" hidden="false" customHeight="false" outlineLevel="0" collapsed="false">
      <c r="B43" s="24"/>
      <c r="C43" s="25"/>
      <c r="D43" s="25"/>
      <c r="E43" s="26"/>
      <c r="F43" s="27"/>
      <c r="G43" s="28"/>
      <c r="H43" s="17" t="n">
        <f aca="false">IFERROR(E43*F43,"")</f>
        <v>0</v>
      </c>
      <c r="I43" s="29"/>
      <c r="J43" s="30" t="n">
        <f aca="false">IFERROR(E43*I43,"")</f>
        <v>0</v>
      </c>
      <c r="K43" s="31" t="n">
        <f aca="false">IFERROR(J43-H43,"")</f>
        <v>0</v>
      </c>
      <c r="L43" s="32" t="str">
        <f aca="false">IFERROR(K43/H43,"")</f>
        <v/>
      </c>
    </row>
    <row r="44" customFormat="false" ht="16.9" hidden="false" customHeight="false" outlineLevel="0" collapsed="false">
      <c r="B44" s="24"/>
      <c r="C44" s="25"/>
      <c r="D44" s="25"/>
      <c r="E44" s="26"/>
      <c r="F44" s="27"/>
      <c r="G44" s="28"/>
      <c r="H44" s="17" t="n">
        <f aca="false">IFERROR(E44*F44,"")</f>
        <v>0</v>
      </c>
      <c r="I44" s="29"/>
      <c r="J44" s="30" t="n">
        <f aca="false">IFERROR(E44*I44,"")</f>
        <v>0</v>
      </c>
      <c r="K44" s="31" t="n">
        <f aca="false">IFERROR(J44-H44,"")</f>
        <v>0</v>
      </c>
      <c r="L44" s="32" t="str">
        <f aca="false">IFERROR(K44/H44,"")</f>
        <v/>
      </c>
    </row>
    <row r="45" customFormat="false" ht="16.9" hidden="false" customHeight="false" outlineLevel="0" collapsed="false">
      <c r="B45" s="24"/>
      <c r="C45" s="25"/>
      <c r="D45" s="25"/>
      <c r="E45" s="26"/>
      <c r="F45" s="27"/>
      <c r="G45" s="28"/>
      <c r="H45" s="17" t="n">
        <f aca="false">IFERROR(E45*F45,"")</f>
        <v>0</v>
      </c>
      <c r="I45" s="29"/>
      <c r="J45" s="30" t="n">
        <f aca="false">IFERROR(E45*I45,"")</f>
        <v>0</v>
      </c>
      <c r="K45" s="31" t="n">
        <f aca="false">IFERROR(J45-H45,"")</f>
        <v>0</v>
      </c>
      <c r="L45" s="32" t="str">
        <f aca="false">IFERROR(K45/H45,"")</f>
        <v/>
      </c>
    </row>
    <row r="46" customFormat="false" ht="16.9" hidden="false" customHeight="false" outlineLevel="0" collapsed="false">
      <c r="B46" s="24"/>
      <c r="C46" s="25"/>
      <c r="D46" s="25"/>
      <c r="E46" s="26"/>
      <c r="F46" s="27"/>
      <c r="G46" s="28"/>
      <c r="H46" s="17" t="n">
        <f aca="false">IFERROR(E46*F46,"")</f>
        <v>0</v>
      </c>
      <c r="I46" s="29"/>
      <c r="J46" s="30" t="n">
        <f aca="false">IFERROR(E46*I46,"")</f>
        <v>0</v>
      </c>
      <c r="K46" s="31" t="n">
        <f aca="false">IFERROR(J46-H46,"")</f>
        <v>0</v>
      </c>
      <c r="L46" s="32" t="str">
        <f aca="false">IFERROR(K46/H46,"")</f>
        <v/>
      </c>
    </row>
    <row r="47" customFormat="false" ht="16.9" hidden="false" customHeight="false" outlineLevel="0" collapsed="false">
      <c r="B47" s="24"/>
      <c r="C47" s="25"/>
      <c r="D47" s="25"/>
      <c r="E47" s="26"/>
      <c r="F47" s="27"/>
      <c r="G47" s="28"/>
      <c r="H47" s="17" t="n">
        <f aca="false">IFERROR(E47*F47,"")</f>
        <v>0</v>
      </c>
      <c r="I47" s="29"/>
      <c r="J47" s="30" t="n">
        <f aca="false">IFERROR(E47*I47,"")</f>
        <v>0</v>
      </c>
      <c r="K47" s="31" t="n">
        <f aca="false">IFERROR(J47-H47,"")</f>
        <v>0</v>
      </c>
      <c r="L47" s="32" t="str">
        <f aca="false">IFERROR(K47/H47,"")</f>
        <v/>
      </c>
    </row>
    <row r="48" customFormat="false" ht="16.9" hidden="false" customHeight="false" outlineLevel="0" collapsed="false">
      <c r="B48" s="24"/>
      <c r="C48" s="25"/>
      <c r="D48" s="25"/>
      <c r="E48" s="26"/>
      <c r="F48" s="27"/>
      <c r="G48" s="28"/>
      <c r="H48" s="17" t="n">
        <f aca="false">IFERROR(E48*F48,"")</f>
        <v>0</v>
      </c>
      <c r="I48" s="29"/>
      <c r="J48" s="30" t="n">
        <f aca="false">IFERROR(E48*I48,"")</f>
        <v>0</v>
      </c>
      <c r="K48" s="31" t="n">
        <f aca="false">IFERROR(J48-H48,"")</f>
        <v>0</v>
      </c>
      <c r="L48" s="32" t="str">
        <f aca="false">IFERROR(K48/H48,"")</f>
        <v/>
      </c>
    </row>
    <row r="49" customFormat="false" ht="16.9" hidden="false" customHeight="false" outlineLevel="0" collapsed="false">
      <c r="B49" s="24"/>
      <c r="C49" s="25"/>
      <c r="D49" s="25"/>
      <c r="E49" s="26"/>
      <c r="F49" s="27"/>
      <c r="G49" s="28"/>
      <c r="H49" s="17" t="n">
        <f aca="false">IFERROR(E49*F49,"")</f>
        <v>0</v>
      </c>
      <c r="I49" s="29"/>
      <c r="J49" s="30" t="n">
        <f aca="false">IFERROR(E49*I49,"")</f>
        <v>0</v>
      </c>
      <c r="K49" s="31" t="n">
        <f aca="false">IFERROR(J49-H49,"")</f>
        <v>0</v>
      </c>
      <c r="L49" s="32" t="str">
        <f aca="false">IFERROR(K49/H49,"")</f>
        <v/>
      </c>
    </row>
    <row r="50" customFormat="false" ht="16.9" hidden="false" customHeight="false" outlineLevel="0" collapsed="false">
      <c r="B50" s="24"/>
      <c r="C50" s="25"/>
      <c r="D50" s="25"/>
      <c r="E50" s="26"/>
      <c r="F50" s="27"/>
      <c r="G50" s="28"/>
      <c r="H50" s="17" t="n">
        <f aca="false">IFERROR(E50*F50,"")</f>
        <v>0</v>
      </c>
      <c r="I50" s="29"/>
      <c r="J50" s="30" t="n">
        <f aca="false">IFERROR(E50*I50,"")</f>
        <v>0</v>
      </c>
      <c r="K50" s="31" t="n">
        <f aca="false">IFERROR(J50-H50,"")</f>
        <v>0</v>
      </c>
      <c r="L50" s="32" t="str">
        <f aca="false">IFERROR(K50/H50,"")</f>
        <v/>
      </c>
    </row>
    <row r="51" customFormat="false" ht="16.9" hidden="false" customHeight="false" outlineLevel="0" collapsed="false">
      <c r="B51" s="24"/>
      <c r="C51" s="25"/>
      <c r="D51" s="25"/>
      <c r="E51" s="26"/>
      <c r="F51" s="27"/>
      <c r="G51" s="28"/>
      <c r="H51" s="17" t="n">
        <f aca="false">IFERROR(E51*F51,"")</f>
        <v>0</v>
      </c>
      <c r="I51" s="29"/>
      <c r="J51" s="30" t="n">
        <f aca="false">IFERROR(E51*I51,"")</f>
        <v>0</v>
      </c>
      <c r="K51" s="31" t="n">
        <f aca="false">IFERROR(J51-H51,"")</f>
        <v>0</v>
      </c>
      <c r="L51" s="32" t="str">
        <f aca="false">IFERROR(K51/H51,"")</f>
        <v/>
      </c>
    </row>
    <row r="52" customFormat="false" ht="16.9" hidden="false" customHeight="false" outlineLevel="0" collapsed="false">
      <c r="B52" s="24"/>
      <c r="C52" s="25"/>
      <c r="D52" s="25"/>
      <c r="E52" s="26"/>
      <c r="F52" s="27"/>
      <c r="G52" s="28"/>
      <c r="H52" s="17" t="n">
        <f aca="false">IFERROR(E52*F52,"")</f>
        <v>0</v>
      </c>
      <c r="I52" s="29"/>
      <c r="J52" s="30" t="n">
        <f aca="false">IFERROR(E52*I52,"")</f>
        <v>0</v>
      </c>
      <c r="K52" s="31" t="n">
        <f aca="false">IFERROR(J52-H52,"")</f>
        <v>0</v>
      </c>
      <c r="L52" s="32" t="str">
        <f aca="false">IFERROR(K52/H52,"")</f>
        <v/>
      </c>
    </row>
    <row r="53" customFormat="false" ht="16.9" hidden="false" customHeight="false" outlineLevel="0" collapsed="false">
      <c r="B53" s="24"/>
      <c r="C53" s="25"/>
      <c r="D53" s="25"/>
      <c r="E53" s="26"/>
      <c r="F53" s="27"/>
      <c r="G53" s="28"/>
      <c r="H53" s="17" t="n">
        <f aca="false">IFERROR(E53*F53,"")</f>
        <v>0</v>
      </c>
      <c r="I53" s="29"/>
      <c r="J53" s="30" t="n">
        <f aca="false">IFERROR(E53*I53,"")</f>
        <v>0</v>
      </c>
      <c r="K53" s="31" t="n">
        <f aca="false">IFERROR(J53-H53,"")</f>
        <v>0</v>
      </c>
      <c r="L53" s="32" t="str">
        <f aca="false">IFERROR(K53/H53,"")</f>
        <v/>
      </c>
    </row>
    <row r="54" customFormat="false" ht="16.9" hidden="false" customHeight="false" outlineLevel="0" collapsed="false">
      <c r="B54" s="24"/>
      <c r="C54" s="25"/>
      <c r="D54" s="25"/>
      <c r="E54" s="26"/>
      <c r="F54" s="27"/>
      <c r="G54" s="28"/>
      <c r="H54" s="17" t="n">
        <f aca="false">IFERROR(E54*F54,"")</f>
        <v>0</v>
      </c>
      <c r="I54" s="29"/>
      <c r="J54" s="30" t="n">
        <f aca="false">IFERROR(E54*I54,"")</f>
        <v>0</v>
      </c>
      <c r="K54" s="31" t="n">
        <f aca="false">IFERROR(J54-H54,"")</f>
        <v>0</v>
      </c>
      <c r="L54" s="32" t="str">
        <f aca="false">IFERROR(K54/H54,"")</f>
        <v/>
      </c>
    </row>
    <row r="55" customFormat="false" ht="16.9" hidden="false" customHeight="false" outlineLevel="0" collapsed="false">
      <c r="B55" s="24"/>
      <c r="C55" s="25"/>
      <c r="D55" s="25"/>
      <c r="E55" s="26"/>
      <c r="F55" s="27"/>
      <c r="G55" s="28"/>
      <c r="H55" s="17" t="n">
        <f aca="false">IFERROR(E55*F55,"")</f>
        <v>0</v>
      </c>
      <c r="I55" s="29"/>
      <c r="J55" s="30" t="n">
        <f aca="false">IFERROR(E55*I55,"")</f>
        <v>0</v>
      </c>
      <c r="K55" s="31" t="n">
        <f aca="false">IFERROR(J55-H55,"")</f>
        <v>0</v>
      </c>
      <c r="L55" s="32" t="str">
        <f aca="false">IFERROR(K55/H55,"")</f>
        <v/>
      </c>
    </row>
    <row r="56" customFormat="false" ht="16.9" hidden="false" customHeight="false" outlineLevel="0" collapsed="false">
      <c r="B56" s="24"/>
      <c r="C56" s="25"/>
      <c r="D56" s="25"/>
      <c r="E56" s="26"/>
      <c r="F56" s="27"/>
      <c r="G56" s="28"/>
      <c r="H56" s="17" t="n">
        <f aca="false">IFERROR(E56*F56,"")</f>
        <v>0</v>
      </c>
      <c r="I56" s="29"/>
      <c r="J56" s="30" t="n">
        <f aca="false">IFERROR(E56*I56,"")</f>
        <v>0</v>
      </c>
      <c r="K56" s="31" t="n">
        <f aca="false">IFERROR(J56-H56,"")</f>
        <v>0</v>
      </c>
      <c r="L56" s="32" t="str">
        <f aca="false">IFERROR(K56/H56,"")</f>
        <v/>
      </c>
    </row>
    <row r="57" customFormat="false" ht="16.9" hidden="false" customHeight="false" outlineLevel="0" collapsed="false">
      <c r="B57" s="24"/>
      <c r="C57" s="25"/>
      <c r="D57" s="25"/>
      <c r="E57" s="26"/>
      <c r="F57" s="27"/>
      <c r="G57" s="28"/>
      <c r="H57" s="17" t="n">
        <f aca="false">IFERROR(E57*F57,"")</f>
        <v>0</v>
      </c>
      <c r="I57" s="29"/>
      <c r="J57" s="30" t="n">
        <f aca="false">IFERROR(E57*I57,"")</f>
        <v>0</v>
      </c>
      <c r="K57" s="31" t="n">
        <f aca="false">IFERROR(J57-H57,"")</f>
        <v>0</v>
      </c>
      <c r="L57" s="32" t="str">
        <f aca="false">IFERROR(K57/H57,"")</f>
        <v/>
      </c>
    </row>
    <row r="58" customFormat="false" ht="16.9" hidden="false" customHeight="false" outlineLevel="0" collapsed="false">
      <c r="B58" s="24"/>
      <c r="C58" s="25"/>
      <c r="D58" s="25"/>
      <c r="E58" s="26"/>
      <c r="F58" s="27"/>
      <c r="G58" s="28"/>
      <c r="H58" s="17" t="n">
        <f aca="false">IFERROR(E58*F58,"")</f>
        <v>0</v>
      </c>
      <c r="I58" s="29"/>
      <c r="J58" s="30" t="n">
        <f aca="false">IFERROR(E58*I58,"")</f>
        <v>0</v>
      </c>
      <c r="K58" s="31" t="n">
        <f aca="false">IFERROR(J58-H58,"")</f>
        <v>0</v>
      </c>
      <c r="L58" s="32" t="str">
        <f aca="false">IFERROR(K58/H58,"")</f>
        <v/>
      </c>
    </row>
    <row r="59" customFormat="false" ht="16.9" hidden="false" customHeight="false" outlineLevel="0" collapsed="false">
      <c r="B59" s="24"/>
      <c r="C59" s="25"/>
      <c r="D59" s="25"/>
      <c r="E59" s="26"/>
      <c r="F59" s="27"/>
      <c r="G59" s="28"/>
      <c r="H59" s="17" t="n">
        <f aca="false">IFERROR(E59*F59,"")</f>
        <v>0</v>
      </c>
      <c r="I59" s="29"/>
      <c r="J59" s="30" t="n">
        <f aca="false">IFERROR(E59*I59,"")</f>
        <v>0</v>
      </c>
      <c r="K59" s="31" t="n">
        <f aca="false">IFERROR(J59-H59,"")</f>
        <v>0</v>
      </c>
      <c r="L59" s="32" t="str">
        <f aca="false">IFERROR(K59/H59,"")</f>
        <v/>
      </c>
    </row>
    <row r="60" customFormat="false" ht="16.9" hidden="false" customHeight="false" outlineLevel="0" collapsed="false">
      <c r="B60" s="24"/>
      <c r="C60" s="25"/>
      <c r="D60" s="25"/>
      <c r="E60" s="26"/>
      <c r="F60" s="27"/>
      <c r="G60" s="28"/>
      <c r="H60" s="17" t="n">
        <f aca="false">IFERROR(E60*F60,"")</f>
        <v>0</v>
      </c>
      <c r="I60" s="29"/>
      <c r="J60" s="30" t="n">
        <f aca="false">IFERROR(E60*I60,"")</f>
        <v>0</v>
      </c>
      <c r="K60" s="31" t="n">
        <f aca="false">IFERROR(J60-H60,"")</f>
        <v>0</v>
      </c>
      <c r="L60" s="32" t="str">
        <f aca="false">IFERROR(K60/H60,"")</f>
        <v/>
      </c>
    </row>
    <row r="61" customFormat="false" ht="16.9" hidden="false" customHeight="false" outlineLevel="0" collapsed="false">
      <c r="B61" s="24"/>
      <c r="C61" s="25"/>
      <c r="D61" s="25"/>
      <c r="E61" s="26"/>
      <c r="F61" s="27"/>
      <c r="G61" s="28"/>
      <c r="H61" s="17" t="n">
        <f aca="false">IFERROR(E61*F61,"")</f>
        <v>0</v>
      </c>
      <c r="I61" s="29"/>
      <c r="J61" s="30" t="n">
        <f aca="false">IFERROR(E61*I61,"")</f>
        <v>0</v>
      </c>
      <c r="K61" s="31" t="n">
        <f aca="false">IFERROR(J61-H61,"")</f>
        <v>0</v>
      </c>
      <c r="L61" s="32" t="str">
        <f aca="false">IFERROR(K61/H61,"")</f>
        <v/>
      </c>
    </row>
    <row r="62" customFormat="false" ht="16.9" hidden="false" customHeight="false" outlineLevel="0" collapsed="false">
      <c r="B62" s="24"/>
      <c r="C62" s="25"/>
      <c r="D62" s="25"/>
      <c r="E62" s="26"/>
      <c r="F62" s="27"/>
      <c r="G62" s="28"/>
      <c r="H62" s="17" t="n">
        <f aca="false">IFERROR(E62*F62,"")</f>
        <v>0</v>
      </c>
      <c r="I62" s="29"/>
      <c r="J62" s="30" t="n">
        <f aca="false">IFERROR(E62*I62,"")</f>
        <v>0</v>
      </c>
      <c r="K62" s="31" t="n">
        <f aca="false">IFERROR(J62-H62,"")</f>
        <v>0</v>
      </c>
      <c r="L62" s="32" t="str">
        <f aca="false">IFERROR(K62/H62,"")</f>
        <v/>
      </c>
    </row>
    <row r="63" customFormat="false" ht="16.9" hidden="false" customHeight="false" outlineLevel="0" collapsed="false">
      <c r="B63" s="24"/>
      <c r="C63" s="25"/>
      <c r="D63" s="25"/>
      <c r="E63" s="26"/>
      <c r="F63" s="27"/>
      <c r="G63" s="28"/>
      <c r="H63" s="17" t="n">
        <f aca="false">IFERROR(E63*F63,"")</f>
        <v>0</v>
      </c>
      <c r="I63" s="29"/>
      <c r="J63" s="30" t="n">
        <f aca="false">IFERROR(E63*I63,"")</f>
        <v>0</v>
      </c>
      <c r="K63" s="31" t="n">
        <f aca="false">IFERROR(J63-H63,"")</f>
        <v>0</v>
      </c>
      <c r="L63" s="32" t="str">
        <f aca="false">IFERROR(K63/H63,"")</f>
        <v/>
      </c>
    </row>
    <row r="64" customFormat="false" ht="16.9" hidden="false" customHeight="false" outlineLevel="0" collapsed="false">
      <c r="B64" s="24"/>
      <c r="C64" s="25"/>
      <c r="D64" s="25"/>
      <c r="E64" s="26"/>
      <c r="F64" s="27"/>
      <c r="G64" s="28"/>
      <c r="H64" s="17" t="n">
        <f aca="false">IFERROR(E64*F64,"")</f>
        <v>0</v>
      </c>
      <c r="I64" s="29"/>
      <c r="J64" s="30" t="n">
        <f aca="false">IFERROR(E64*I64,"")</f>
        <v>0</v>
      </c>
      <c r="K64" s="31" t="n">
        <f aca="false">IFERROR(J64-H64,"")</f>
        <v>0</v>
      </c>
      <c r="L64" s="32" t="str">
        <f aca="false">IFERROR(K64/H64,"")</f>
        <v/>
      </c>
    </row>
    <row r="65" customFormat="false" ht="16.9" hidden="false" customHeight="false" outlineLevel="0" collapsed="false">
      <c r="B65" s="24"/>
      <c r="C65" s="25"/>
      <c r="D65" s="25"/>
      <c r="E65" s="26"/>
      <c r="F65" s="27"/>
      <c r="G65" s="28"/>
      <c r="H65" s="17" t="n">
        <f aca="false">IFERROR(E65*F65,"")</f>
        <v>0</v>
      </c>
      <c r="I65" s="29"/>
      <c r="J65" s="30" t="n">
        <f aca="false">IFERROR(E65*I65,"")</f>
        <v>0</v>
      </c>
      <c r="K65" s="31" t="n">
        <f aca="false">IFERROR(J65-H65,"")</f>
        <v>0</v>
      </c>
      <c r="L65" s="32" t="str">
        <f aca="false">IFERROR(K65/H65,"")</f>
        <v/>
      </c>
    </row>
    <row r="66" customFormat="false" ht="16.9" hidden="false" customHeight="false" outlineLevel="0" collapsed="false">
      <c r="B66" s="24"/>
      <c r="C66" s="25"/>
      <c r="D66" s="25"/>
      <c r="E66" s="26"/>
      <c r="F66" s="27"/>
      <c r="G66" s="28"/>
      <c r="H66" s="17" t="n">
        <f aca="false">IFERROR(E66*F66,"")</f>
        <v>0</v>
      </c>
      <c r="I66" s="29"/>
      <c r="J66" s="30" t="n">
        <f aca="false">IFERROR(E66*I66,"")</f>
        <v>0</v>
      </c>
      <c r="K66" s="31" t="n">
        <f aca="false">IFERROR(J66-H66,"")</f>
        <v>0</v>
      </c>
      <c r="L66" s="32" t="str">
        <f aca="false">IFERROR(K66/H66,"")</f>
        <v/>
      </c>
    </row>
    <row r="67" customFormat="false" ht="16.9" hidden="false" customHeight="false" outlineLevel="0" collapsed="false">
      <c r="B67" s="24"/>
      <c r="C67" s="25"/>
      <c r="D67" s="25"/>
      <c r="E67" s="26"/>
      <c r="F67" s="27"/>
      <c r="G67" s="28"/>
      <c r="H67" s="17" t="n">
        <f aca="false">IFERROR(E67*F67,"")</f>
        <v>0</v>
      </c>
      <c r="I67" s="29"/>
      <c r="J67" s="30" t="n">
        <f aca="false">IFERROR(E67*I67,"")</f>
        <v>0</v>
      </c>
      <c r="K67" s="31" t="n">
        <f aca="false">IFERROR(J67-H67,"")</f>
        <v>0</v>
      </c>
      <c r="L67" s="32" t="str">
        <f aca="false">IFERROR(K67/H67,"")</f>
        <v/>
      </c>
    </row>
    <row r="68" customFormat="false" ht="16.9" hidden="false" customHeight="false" outlineLevel="0" collapsed="false">
      <c r="B68" s="24"/>
      <c r="C68" s="25"/>
      <c r="D68" s="25"/>
      <c r="E68" s="26"/>
      <c r="F68" s="27"/>
      <c r="G68" s="28"/>
      <c r="H68" s="17" t="n">
        <f aca="false">IFERROR(E68*F68,"")</f>
        <v>0</v>
      </c>
      <c r="I68" s="29"/>
      <c r="J68" s="30" t="n">
        <f aca="false">IFERROR(E68*I68,"")</f>
        <v>0</v>
      </c>
      <c r="K68" s="31" t="n">
        <f aca="false">IFERROR(J68-H68,"")</f>
        <v>0</v>
      </c>
      <c r="L68" s="32" t="str">
        <f aca="false">IFERROR(K68/H68,"")</f>
        <v/>
      </c>
    </row>
    <row r="70" customFormat="false" ht="27.75" hidden="false" customHeight="true" outlineLevel="0" collapsed="false">
      <c r="B70" s="33" t="s">
        <v>60</v>
      </c>
      <c r="C70" s="34"/>
      <c r="D70" s="34"/>
      <c r="E70" s="34"/>
      <c r="F70" s="34"/>
      <c r="G70" s="34"/>
      <c r="H70" s="35" t="n">
        <f aca="false">SUM(H9:H68)</f>
        <v>107390</v>
      </c>
      <c r="J70" s="35" t="n">
        <f aca="false">SUM(J9:J68)</f>
        <v>107390</v>
      </c>
      <c r="K70" s="36" t="n">
        <f aca="false">SUM(K9:K68)</f>
        <v>0</v>
      </c>
      <c r="L70" s="37" t="n">
        <f aca="false">IFERROR(K70/H70,0)</f>
        <v>0</v>
      </c>
    </row>
    <row r="71" customFormat="false" ht="15" hidden="false" customHeight="false" outlineLevel="0" collapsed="false">
      <c r="B71" s="0" t="s">
        <v>61</v>
      </c>
    </row>
    <row r="73" customFormat="false" ht="31.5" hidden="false" customHeight="true" outlineLevel="0" collapsed="false">
      <c r="B73" s="22" t="s">
        <v>62</v>
      </c>
      <c r="C73" s="22"/>
      <c r="D73" s="22"/>
      <c r="E73" s="22"/>
      <c r="F73" s="22"/>
      <c r="G73" s="22"/>
      <c r="H73" s="22"/>
      <c r="I73" s="22"/>
      <c r="J73" s="22"/>
      <c r="K73" s="22"/>
      <c r="L73" s="22"/>
    </row>
    <row r="74" customFormat="false" ht="31.5" hidden="false" customHeight="true" outlineLevel="0" collapsed="false">
      <c r="B74" s="22"/>
      <c r="C74" s="22"/>
      <c r="D74" s="22"/>
      <c r="E74" s="22"/>
      <c r="F74" s="22"/>
      <c r="G74" s="22"/>
      <c r="H74" s="22"/>
      <c r="I74" s="22"/>
      <c r="J74" s="22"/>
      <c r="K74" s="22"/>
      <c r="L74" s="22"/>
    </row>
    <row r="77" customFormat="false" ht="3" hidden="false" customHeight="true" outlineLevel="0" collapsed="false">
      <c r="A77" s="9"/>
      <c r="B77" s="9"/>
      <c r="C77" s="9"/>
      <c r="D77" s="9"/>
      <c r="E77" s="9"/>
      <c r="F77" s="9"/>
      <c r="G77" s="9"/>
      <c r="H77" s="9"/>
      <c r="I77" s="9"/>
      <c r="J77" s="9"/>
      <c r="K77" s="9"/>
      <c r="L77" s="9"/>
      <c r="M77" s="9"/>
    </row>
    <row r="78" customFormat="false" ht="21.75" hidden="false" customHeight="true" outlineLevel="0" collapsed="false">
      <c r="A78" s="23" t="s">
        <v>49</v>
      </c>
      <c r="B78" s="23"/>
      <c r="C78" s="23"/>
      <c r="D78" s="23"/>
      <c r="E78" s="23"/>
      <c r="F78" s="23"/>
      <c r="G78" s="23"/>
      <c r="H78" s="23"/>
      <c r="I78" s="23"/>
      <c r="J78" s="23"/>
      <c r="K78" s="23"/>
      <c r="L78" s="23"/>
      <c r="M78"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73:L74"/>
    <mergeCell ref="A77:M77"/>
    <mergeCell ref="A78:M78"/>
  </mergeCells>
  <conditionalFormatting sqref="K9:L68">
    <cfRule type="cellIs" priority="2" operator="greaterThan" aboveAverage="0" equalAverage="0" bottom="0" percent="0" rank="0" text="" dxfId="3">
      <formula>0</formula>
    </cfRule>
    <cfRule type="cellIs" priority="3" operator="lessThan" aboveAverage="0" equalAverage="0" bottom="0" percent="0" rank="0" text="" dxfId="4">
      <formula>0</formula>
    </cfRule>
  </conditionalFormatting>
  <conditionalFormatting sqref="L9:L68">
    <cfRule type="cellIs" priority="4" operator="greaterThan" aboveAverage="0" equalAverage="0" bottom="0" percent="0" rank="0" text="" dxfId="5">
      <formula>0.5</formula>
    </cfRule>
  </conditionalFormatting>
  <dataValidations count="2">
    <dataValidation allowBlank="true" errorStyle="stop" operator="between" showDropDown="false" showErrorMessage="false" showInputMessage="false" sqref="C9:C68" type="list">
      <formula1>"Brokerage Taxable,Roth IRA,Traditional IRA,401k,SEP IRA,HSA,529,Other"</formula1>
      <formula2>0</formula2>
    </dataValidation>
    <dataValidation allowBlank="true" errorStyle="stop" operator="between" showDropDown="false" showErrorMessage="false" showInputMessage="false" sqref="D9:D68" type="list">
      <formula1>"Stocks,ETFs,Mutual Funds,Bonds,Cash,Metals,Crypto,REITs,CDs,Options/RSUs"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6B4D"/>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3" min="2" style="0" width="1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12" min="8"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63</v>
      </c>
      <c r="K1" s="3"/>
      <c r="L1" s="3"/>
      <c r="M1" s="3"/>
    </row>
    <row r="2" customFormat="false" ht="54" hidden="false" customHeight="true" outlineLevel="0" collapsed="false">
      <c r="A2" s="4" t="str">
        <f aca="false">"CURRENCIES"&amp;CHAR(10)&amp;(COUNTA(B9:B18))</f>
        <v>CURRENCIES
4</v>
      </c>
      <c r="B2" s="4"/>
      <c r="C2" s="4" t="str">
        <f aca="false">"USD EQUIV"&amp;CHAR(10)&amp;(TEXT(SUM(G9:G18),"$#,##0"))</f>
        <v>USD EQUIV
$15,000</v>
      </c>
      <c r="D2" s="4"/>
      <c r="E2" s="38" t="s">
        <v>64</v>
      </c>
      <c r="F2" s="38"/>
      <c r="G2" s="4" t="str">
        <f aca="false">"EUR→USD"&amp;CHAR(10)&amp;(IFERROR(TEXT(VLOOKUP("EUR",B9:E18,4,FALSE()),"0.0000"),"—"))</f>
        <v>EUR→USD
1.0700</v>
      </c>
      <c r="H2" s="4"/>
      <c r="I2" s="4" t="str">
        <f aca="false">"GBP→USD"&amp;CHAR(10)&amp;(IFERROR(TEXT(VLOOKUP("GBP",B9:E18,4,FALSE()),"0.0000"),"—"))</f>
        <v>GBP→USD
1.2600</v>
      </c>
      <c r="J2" s="4"/>
      <c r="K2" s="4" t="str">
        <f aca="false">"AS OF"&amp;CHAR(10)&amp;(IFERROR(TEXT(MAX(F9:F18),"mmm d"),"—"))</f>
        <v>AS OF
May 23</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65</v>
      </c>
      <c r="B4" s="6"/>
      <c r="C4" s="6"/>
      <c r="D4" s="6"/>
      <c r="E4" s="6"/>
      <c r="F4" s="6"/>
      <c r="G4" s="6"/>
      <c r="H4" s="6"/>
      <c r="I4" s="6"/>
      <c r="J4" s="6"/>
      <c r="K4" s="6"/>
      <c r="L4" s="6"/>
      <c r="M4" s="6"/>
    </row>
    <row r="6" customFormat="false" ht="25.5" hidden="false" customHeight="true" outlineLevel="0" collapsed="false">
      <c r="B6" s="7" t="s">
        <v>66</v>
      </c>
      <c r="C6" s="7"/>
      <c r="D6" s="7"/>
      <c r="E6" s="7"/>
      <c r="F6" s="7"/>
      <c r="G6" s="7"/>
      <c r="H6" s="7"/>
      <c r="I6" s="7"/>
      <c r="J6" s="7"/>
      <c r="K6" s="7"/>
      <c r="L6" s="7"/>
    </row>
    <row r="7" customFormat="false" ht="18" hidden="false" customHeight="true" outlineLevel="0" collapsed="false">
      <c r="B7" s="8" t="s">
        <v>67</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68</v>
      </c>
      <c r="C10" s="10" t="s">
        <v>69</v>
      </c>
      <c r="D10" s="10" t="s">
        <v>70</v>
      </c>
      <c r="E10" s="10" t="s">
        <v>71</v>
      </c>
      <c r="F10" s="10" t="s">
        <v>72</v>
      </c>
      <c r="G10" s="10" t="s">
        <v>73</v>
      </c>
      <c r="H10" s="11" t="s">
        <v>74</v>
      </c>
    </row>
    <row r="11" customFormat="false" ht="15" hidden="false" customHeight="false" outlineLevel="0" collapsed="false">
      <c r="B11" s="24" t="s">
        <v>75</v>
      </c>
      <c r="C11" s="25" t="s">
        <v>56</v>
      </c>
      <c r="D11" s="39" t="n">
        <v>15000</v>
      </c>
      <c r="E11" s="40" t="n">
        <v>1</v>
      </c>
      <c r="F11" s="28" t="n">
        <v>46165.5367439468</v>
      </c>
      <c r="G11" s="30" t="n">
        <f aca="false">IFERROR(D11*E11,"")</f>
        <v>15000</v>
      </c>
      <c r="H11" s="41" t="s">
        <v>76</v>
      </c>
    </row>
    <row r="12" customFormat="false" ht="15" hidden="false" customHeight="false" outlineLevel="0" collapsed="false">
      <c r="B12" s="24" t="s">
        <v>77</v>
      </c>
      <c r="C12" s="25" t="s">
        <v>78</v>
      </c>
      <c r="D12" s="39" t="n">
        <v>0</v>
      </c>
      <c r="E12" s="40" t="n">
        <v>1.07</v>
      </c>
      <c r="F12" s="28" t="n">
        <v>46165.5367439468</v>
      </c>
      <c r="G12" s="30" t="n">
        <f aca="false">IFERROR(D12*E12,"")</f>
        <v>0</v>
      </c>
      <c r="H12" s="41" t="s">
        <v>79</v>
      </c>
    </row>
    <row r="13" customFormat="false" ht="15" hidden="false" customHeight="false" outlineLevel="0" collapsed="false">
      <c r="B13" s="24" t="s">
        <v>80</v>
      </c>
      <c r="C13" s="25" t="s">
        <v>78</v>
      </c>
      <c r="D13" s="39" t="n">
        <v>0</v>
      </c>
      <c r="E13" s="40" t="n">
        <v>1.26</v>
      </c>
      <c r="F13" s="28" t="n">
        <v>46165.5367439468</v>
      </c>
      <c r="G13" s="30" t="n">
        <f aca="false">IFERROR(D13*E13,"")</f>
        <v>0</v>
      </c>
      <c r="H13" s="41" t="s">
        <v>81</v>
      </c>
    </row>
    <row r="14" customFormat="false" ht="15" hidden="false" customHeight="false" outlineLevel="0" collapsed="false">
      <c r="B14" s="24"/>
      <c r="C14" s="25"/>
      <c r="D14" s="39"/>
      <c r="E14" s="40"/>
      <c r="F14" s="28"/>
      <c r="G14" s="30" t="n">
        <f aca="false">IFERROR(D14*E14,"")</f>
        <v>0</v>
      </c>
      <c r="H14" s="41"/>
    </row>
    <row r="15" customFormat="false" ht="15" hidden="false" customHeight="false" outlineLevel="0" collapsed="false">
      <c r="B15" s="24"/>
      <c r="C15" s="25"/>
      <c r="D15" s="39"/>
      <c r="E15" s="40"/>
      <c r="F15" s="28"/>
      <c r="G15" s="30" t="n">
        <f aca="false">IFERROR(D15*E15,"")</f>
        <v>0</v>
      </c>
      <c r="H15" s="41"/>
    </row>
    <row r="16" customFormat="false" ht="15" hidden="false" customHeight="false" outlineLevel="0" collapsed="false">
      <c r="B16" s="24"/>
      <c r="C16" s="25"/>
      <c r="D16" s="39"/>
      <c r="E16" s="40"/>
      <c r="F16" s="28"/>
      <c r="G16" s="30" t="n">
        <f aca="false">IFERROR(D16*E16,"")</f>
        <v>0</v>
      </c>
      <c r="H16" s="41"/>
    </row>
    <row r="17" customFormat="false" ht="15" hidden="false" customHeight="false" outlineLevel="0" collapsed="false">
      <c r="B17" s="24"/>
      <c r="C17" s="25"/>
      <c r="D17" s="39"/>
      <c r="E17" s="40"/>
      <c r="F17" s="28"/>
      <c r="G17" s="30" t="n">
        <f aca="false">IFERROR(D17*E17,"")</f>
        <v>0</v>
      </c>
      <c r="H17" s="41"/>
    </row>
    <row r="18" customFormat="false" ht="15" hidden="false" customHeight="false" outlineLevel="0" collapsed="false">
      <c r="B18" s="24"/>
      <c r="C18" s="25"/>
      <c r="D18" s="39"/>
      <c r="E18" s="40"/>
      <c r="F18" s="28"/>
      <c r="G18" s="30" t="n">
        <f aca="false">IFERROR(D18*E18,"")</f>
        <v>0</v>
      </c>
      <c r="H18" s="41"/>
    </row>
    <row r="19" customFormat="false" ht="15" hidden="false" customHeight="false" outlineLevel="0" collapsed="false">
      <c r="B19" s="24"/>
      <c r="C19" s="25"/>
      <c r="D19" s="39"/>
      <c r="E19" s="40"/>
      <c r="F19" s="28"/>
      <c r="G19" s="30" t="n">
        <f aca="false">IFERROR(D19*E19,"")</f>
        <v>0</v>
      </c>
      <c r="H19" s="41"/>
    </row>
    <row r="20" customFormat="false" ht="15" hidden="false" customHeight="false" outlineLevel="0" collapsed="false">
      <c r="B20" s="24"/>
      <c r="C20" s="25"/>
      <c r="D20" s="39"/>
      <c r="E20" s="40"/>
      <c r="F20" s="28"/>
      <c r="G20" s="30" t="n">
        <f aca="false">IFERROR(D20*E20,"")</f>
        <v>0</v>
      </c>
      <c r="H20" s="41"/>
    </row>
    <row r="23" customFormat="false" ht="30" hidden="false" customHeight="true" outlineLevel="0" collapsed="false">
      <c r="B23" s="22" t="s">
        <v>82</v>
      </c>
      <c r="C23" s="22"/>
      <c r="D23" s="22"/>
      <c r="E23" s="22"/>
      <c r="F23" s="22"/>
      <c r="G23" s="22"/>
      <c r="H23" s="22"/>
      <c r="I23" s="22"/>
      <c r="J23" s="22"/>
      <c r="K23" s="22"/>
      <c r="L23" s="22"/>
    </row>
    <row r="24" customFormat="false" ht="30" hidden="false" customHeight="true" outlineLevel="0" collapsed="false">
      <c r="B24" s="22"/>
      <c r="C24" s="22"/>
      <c r="D24" s="22"/>
      <c r="E24" s="22"/>
      <c r="F24" s="22"/>
      <c r="G24" s="22"/>
      <c r="H24" s="22"/>
      <c r="I24" s="22"/>
      <c r="J24" s="22"/>
      <c r="K24" s="22"/>
      <c r="L24" s="22"/>
    </row>
    <row r="28" customFormat="false" ht="3" hidden="false" customHeight="true" outlineLevel="0" collapsed="false">
      <c r="A28" s="9"/>
      <c r="B28" s="9"/>
      <c r="C28" s="9"/>
      <c r="D28" s="9"/>
      <c r="E28" s="9"/>
      <c r="F28" s="9"/>
      <c r="G28" s="9"/>
      <c r="H28" s="9"/>
      <c r="I28" s="9"/>
      <c r="J28" s="9"/>
      <c r="K28" s="9"/>
      <c r="L28" s="9"/>
      <c r="M28" s="9"/>
    </row>
    <row r="29" customFormat="false" ht="21.75" hidden="false" customHeight="true" outlineLevel="0" collapsed="false">
      <c r="A29" s="23" t="s">
        <v>49</v>
      </c>
      <c r="B29" s="23"/>
      <c r="C29" s="23"/>
      <c r="D29" s="23"/>
      <c r="E29" s="23"/>
      <c r="F29" s="23"/>
      <c r="G29" s="23"/>
      <c r="H29" s="23"/>
      <c r="I29" s="23"/>
      <c r="J29" s="23"/>
      <c r="K29" s="23"/>
      <c r="L29" s="23"/>
      <c r="M29"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3:L24"/>
    <mergeCell ref="A28:M28"/>
    <mergeCell ref="A29:M29"/>
  </mergeCells>
  <dataValidations count="1">
    <dataValidation allowBlank="true" errorStyle="stop" operator="between" showDropDown="false" showErrorMessage="false" showInputMessage="false" sqref="C11:C20" type="list">
      <formula1>"Brokerage Taxable,Roth IRA,Traditional IRA,401k,SEP IRA,HSA,529,Other"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6B4D"/>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3" min="2" style="0" width="10"/>
    <col collapsed="false" customWidth="true" hidden="false" outlineLevel="0" max="12" min="4" style="0" width="8"/>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83</v>
      </c>
      <c r="K1" s="3"/>
      <c r="L1" s="3"/>
      <c r="M1" s="3"/>
    </row>
    <row r="2" customFormat="false" ht="54" hidden="false" customHeight="true" outlineLevel="0" collapsed="false">
      <c r="A2" s="4" t="str">
        <f aca="false">"TICKERS"&amp;CHAR(10)&amp;(COUNTA(B9:B30))</f>
        <v>TICKERS
9</v>
      </c>
      <c r="B2" s="4"/>
      <c r="C2" s="4" t="str">
        <f aca="false">"AVG MoM %"&amp;CHAR(10)&amp;(TEXT(IFERROR(AVERAGE(L9:L30)/AVERAGE(B9:B30)-1,0),"+0.0%;-0.0%"))</f>
        <v>AVG MoM %
+0.0%</v>
      </c>
      <c r="D2" s="4"/>
      <c r="E2" s="4" t="str">
        <f aca="false">"TOTAL DIV YTD"&amp;CHAR(10)&amp;(TEXT(SUM('💰 Dividend Income Calendar'!N9:N28),"$#,##0"))</f>
        <v>TOTAL DIV YTD
$3,065</v>
      </c>
      <c r="F2" s="4"/>
      <c r="G2" s="4" t="str">
        <f aca="false">"TOP TICKER"&amp;CHAR(10)&amp;(IFERROR(INDEX(B9:B30,MATCH(MAX(L9:L30),L9:L30,0)),"—"))</f>
        <v>TOP TICKER
VOO</v>
      </c>
      <c r="H2" s="4"/>
      <c r="I2" s="4" t="str">
        <f aca="true">"AS OF"&amp;CHAR(10)&amp;(TEXT(TODAY(),"mmm yyyy"))</f>
        <v>AS OF
May 2026</v>
      </c>
      <c r="J2" s="4"/>
      <c r="K2" s="38" t="s">
        <v>84</v>
      </c>
      <c r="L2" s="38"/>
      <c r="M2" s="38"/>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85</v>
      </c>
      <c r="B4" s="6"/>
      <c r="C4" s="6"/>
      <c r="D4" s="6"/>
      <c r="E4" s="6"/>
      <c r="F4" s="6"/>
      <c r="G4" s="6"/>
      <c r="H4" s="6"/>
      <c r="I4" s="6"/>
      <c r="J4" s="6"/>
      <c r="K4" s="6"/>
      <c r="L4" s="6"/>
      <c r="M4" s="6"/>
    </row>
    <row r="6" customFormat="false" ht="25.5" hidden="false" customHeight="true" outlineLevel="0" collapsed="false">
      <c r="B6" s="7" t="s">
        <v>86</v>
      </c>
      <c r="C6" s="7"/>
      <c r="D6" s="7"/>
      <c r="E6" s="7"/>
      <c r="F6" s="7"/>
      <c r="G6" s="7"/>
      <c r="H6" s="7"/>
      <c r="I6" s="7"/>
      <c r="J6" s="7"/>
      <c r="K6" s="7"/>
      <c r="L6" s="7"/>
    </row>
    <row r="7" customFormat="false" ht="18" hidden="false" customHeight="true" outlineLevel="0" collapsed="false">
      <c r="B7" s="8" t="s">
        <v>87</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8</v>
      </c>
      <c r="C10" s="10" t="s">
        <v>37</v>
      </c>
      <c r="D10" s="10" t="s">
        <v>38</v>
      </c>
      <c r="E10" s="10" t="s">
        <v>39</v>
      </c>
      <c r="F10" s="10" t="s">
        <v>40</v>
      </c>
      <c r="G10" s="10" t="s">
        <v>41</v>
      </c>
      <c r="H10" s="10" t="s">
        <v>42</v>
      </c>
      <c r="I10" s="10" t="s">
        <v>43</v>
      </c>
      <c r="J10" s="10" t="s">
        <v>44</v>
      </c>
      <c r="K10" s="10" t="s">
        <v>45</v>
      </c>
      <c r="L10" s="10" t="s">
        <v>46</v>
      </c>
    </row>
    <row r="11" customFormat="false" ht="15" hidden="false" customHeight="false" outlineLevel="0" collapsed="false">
      <c r="B11" s="12" t="s">
        <v>55</v>
      </c>
      <c r="C11" s="27" t="n">
        <v>208.25</v>
      </c>
      <c r="D11" s="27" t="n">
        <v>212.66</v>
      </c>
      <c r="E11" s="27" t="n">
        <v>217.07</v>
      </c>
      <c r="F11" s="27" t="n">
        <v>221.48</v>
      </c>
      <c r="G11" s="27" t="n">
        <v>225.89</v>
      </c>
      <c r="H11" s="27" t="n">
        <v>230.3</v>
      </c>
      <c r="I11" s="27" t="n">
        <v>234.71</v>
      </c>
      <c r="J11" s="27" t="n">
        <v>239.12</v>
      </c>
      <c r="K11" s="27" t="n">
        <v>243.53</v>
      </c>
      <c r="L11" s="27" t="n">
        <v>247.94</v>
      </c>
    </row>
    <row r="12" customFormat="false" ht="15" hidden="false" customHeight="false" outlineLevel="0" collapsed="false">
      <c r="B12" s="12" t="s">
        <v>88</v>
      </c>
      <c r="C12" s="27" t="n">
        <v>374</v>
      </c>
      <c r="D12" s="27" t="n">
        <v>381.92</v>
      </c>
      <c r="E12" s="27" t="n">
        <v>389.84</v>
      </c>
      <c r="F12" s="27" t="n">
        <v>397.76</v>
      </c>
      <c r="G12" s="27" t="n">
        <v>405.68</v>
      </c>
      <c r="H12" s="27" t="n">
        <v>413.6</v>
      </c>
      <c r="I12" s="27" t="n">
        <v>421.52</v>
      </c>
      <c r="J12" s="27" t="n">
        <v>429.44</v>
      </c>
      <c r="K12" s="27" t="n">
        <v>437.36</v>
      </c>
      <c r="L12" s="27" t="n">
        <v>445.28</v>
      </c>
    </row>
    <row r="13" customFormat="false" ht="15" hidden="false" customHeight="false" outlineLevel="0" collapsed="false">
      <c r="B13" s="12" t="s">
        <v>89</v>
      </c>
      <c r="C13" s="27" t="n">
        <v>154.7</v>
      </c>
      <c r="D13" s="27" t="n">
        <v>157.98</v>
      </c>
      <c r="E13" s="27" t="n">
        <v>161.25</v>
      </c>
      <c r="F13" s="27" t="n">
        <v>164.53</v>
      </c>
      <c r="G13" s="27" t="n">
        <v>167.8</v>
      </c>
      <c r="H13" s="27" t="n">
        <v>171.08</v>
      </c>
      <c r="I13" s="27" t="n">
        <v>174.36</v>
      </c>
      <c r="J13" s="27" t="n">
        <v>177.63</v>
      </c>
      <c r="K13" s="27" t="n">
        <v>180.91</v>
      </c>
      <c r="L13" s="27" t="n">
        <v>184.18</v>
      </c>
    </row>
    <row r="14" customFormat="false" ht="15" hidden="false" customHeight="false" outlineLevel="0" collapsed="false">
      <c r="B14" s="12" t="s">
        <v>90</v>
      </c>
      <c r="C14" s="27" t="n">
        <v>352.75</v>
      </c>
      <c r="D14" s="27" t="n">
        <v>360.22</v>
      </c>
      <c r="E14" s="27" t="n">
        <v>367.69</v>
      </c>
      <c r="F14" s="27" t="n">
        <v>375.16</v>
      </c>
      <c r="G14" s="27" t="n">
        <v>382.63</v>
      </c>
      <c r="H14" s="27" t="n">
        <v>390.1</v>
      </c>
      <c r="I14" s="27" t="n">
        <v>397.57</v>
      </c>
      <c r="J14" s="27" t="n">
        <v>405.04</v>
      </c>
      <c r="K14" s="27" t="n">
        <v>412.51</v>
      </c>
      <c r="L14" s="27" t="n">
        <v>419.98</v>
      </c>
    </row>
    <row r="15" customFormat="false" ht="15" hidden="false" customHeight="false" outlineLevel="0" collapsed="false">
      <c r="B15" s="12" t="s">
        <v>91</v>
      </c>
      <c r="C15" s="27" t="n">
        <v>125.8</v>
      </c>
      <c r="D15" s="27" t="n">
        <v>128.46</v>
      </c>
      <c r="E15" s="27" t="n">
        <v>131.13</v>
      </c>
      <c r="F15" s="27" t="n">
        <v>133.79</v>
      </c>
      <c r="G15" s="27" t="n">
        <v>136.46</v>
      </c>
      <c r="H15" s="27" t="n">
        <v>139.12</v>
      </c>
      <c r="I15" s="27" t="n">
        <v>141.78</v>
      </c>
      <c r="J15" s="27" t="n">
        <v>144.45</v>
      </c>
      <c r="K15" s="27" t="n">
        <v>147.11</v>
      </c>
      <c r="L15" s="27" t="n">
        <v>149.78</v>
      </c>
    </row>
    <row r="16" customFormat="false" ht="15" hidden="false" customHeight="false" outlineLevel="0" collapsed="false">
      <c r="B16" s="12" t="s">
        <v>58</v>
      </c>
      <c r="C16" s="27" t="n">
        <v>51</v>
      </c>
      <c r="D16" s="27" t="n">
        <v>52.08</v>
      </c>
      <c r="E16" s="27" t="n">
        <v>53.16</v>
      </c>
      <c r="F16" s="27" t="n">
        <v>54.24</v>
      </c>
      <c r="G16" s="27" t="n">
        <v>55.32</v>
      </c>
      <c r="H16" s="27" t="n">
        <v>56.4</v>
      </c>
      <c r="I16" s="27" t="n">
        <v>57.48</v>
      </c>
      <c r="J16" s="27" t="n">
        <v>58.56</v>
      </c>
      <c r="K16" s="27" t="n">
        <v>59.64</v>
      </c>
      <c r="L16" s="27" t="n">
        <v>60.72</v>
      </c>
    </row>
    <row r="17" customFormat="false" ht="15" hidden="false" customHeight="false" outlineLevel="0" collapsed="false">
      <c r="B17" s="12" t="s">
        <v>92</v>
      </c>
      <c r="C17" s="27" t="n">
        <v>69.7</v>
      </c>
      <c r="D17" s="27" t="n">
        <v>71.18</v>
      </c>
      <c r="E17" s="27" t="n">
        <v>72.65</v>
      </c>
      <c r="F17" s="27" t="n">
        <v>74.13</v>
      </c>
      <c r="G17" s="27" t="n">
        <v>75.6</v>
      </c>
      <c r="H17" s="27" t="n">
        <v>77.08</v>
      </c>
      <c r="I17" s="27" t="n">
        <v>78.56</v>
      </c>
      <c r="J17" s="27" t="n">
        <v>80.03</v>
      </c>
      <c r="K17" s="27" t="n">
        <v>81.51</v>
      </c>
      <c r="L17" s="27" t="n">
        <v>82.98</v>
      </c>
    </row>
    <row r="18" customFormat="false" ht="15" hidden="false" customHeight="false" outlineLevel="0" collapsed="false">
      <c r="B18" s="12" t="s">
        <v>93</v>
      </c>
      <c r="C18" s="27" t="n">
        <v>100.3</v>
      </c>
      <c r="D18" s="27" t="n">
        <v>102.42</v>
      </c>
      <c r="E18" s="27" t="n">
        <v>104.55</v>
      </c>
      <c r="F18" s="27" t="n">
        <v>106.67</v>
      </c>
      <c r="G18" s="27" t="n">
        <v>108.8</v>
      </c>
      <c r="H18" s="27" t="n">
        <v>110.92</v>
      </c>
      <c r="I18" s="27" t="n">
        <v>113.04</v>
      </c>
      <c r="J18" s="27" t="n">
        <v>115.17</v>
      </c>
      <c r="K18" s="27" t="n">
        <v>117.29</v>
      </c>
      <c r="L18" s="27" t="n">
        <v>119.42</v>
      </c>
    </row>
    <row r="19" customFormat="false" ht="15" hidden="false" customHeight="false" outlineLevel="0" collapsed="false">
      <c r="B19" s="12"/>
      <c r="C19" s="27"/>
      <c r="D19" s="27"/>
      <c r="E19" s="27"/>
      <c r="F19" s="27"/>
      <c r="G19" s="27"/>
      <c r="H19" s="27"/>
      <c r="I19" s="27"/>
      <c r="J19" s="27"/>
      <c r="K19" s="27"/>
      <c r="L19" s="27"/>
    </row>
    <row r="20" customFormat="false" ht="15" hidden="false" customHeight="false" outlineLevel="0" collapsed="false">
      <c r="B20" s="12"/>
      <c r="C20" s="27"/>
      <c r="D20" s="27"/>
      <c r="E20" s="27"/>
      <c r="F20" s="27"/>
      <c r="G20" s="27"/>
      <c r="H20" s="27"/>
      <c r="I20" s="27"/>
      <c r="J20" s="27"/>
      <c r="K20" s="27"/>
      <c r="L20" s="27"/>
    </row>
    <row r="21" customFormat="false" ht="15" hidden="false" customHeight="false" outlineLevel="0" collapsed="false">
      <c r="B21" s="12"/>
      <c r="C21" s="27"/>
      <c r="D21" s="27"/>
      <c r="E21" s="27"/>
      <c r="F21" s="27"/>
      <c r="G21" s="27"/>
      <c r="H21" s="27"/>
      <c r="I21" s="27"/>
      <c r="J21" s="27"/>
      <c r="K21" s="27"/>
      <c r="L21" s="27"/>
    </row>
    <row r="22" customFormat="false" ht="15" hidden="false" customHeight="false" outlineLevel="0" collapsed="false">
      <c r="B22" s="12"/>
      <c r="C22" s="27"/>
      <c r="D22" s="27"/>
      <c r="E22" s="27"/>
      <c r="F22" s="27"/>
      <c r="G22" s="27"/>
      <c r="H22" s="27"/>
      <c r="I22" s="27"/>
      <c r="J22" s="27"/>
      <c r="K22" s="27"/>
      <c r="L22" s="27"/>
    </row>
    <row r="23" customFormat="false" ht="15" hidden="false" customHeight="false" outlineLevel="0" collapsed="false">
      <c r="B23" s="12"/>
      <c r="C23" s="27"/>
      <c r="D23" s="27"/>
      <c r="E23" s="27"/>
      <c r="F23" s="27"/>
      <c r="G23" s="27"/>
      <c r="H23" s="27"/>
      <c r="I23" s="27"/>
      <c r="J23" s="27"/>
      <c r="K23" s="27"/>
      <c r="L23" s="27"/>
    </row>
    <row r="24" customFormat="false" ht="15" hidden="false" customHeight="false" outlineLevel="0" collapsed="false">
      <c r="B24" s="12"/>
      <c r="C24" s="27"/>
      <c r="D24" s="27"/>
      <c r="E24" s="27"/>
      <c r="F24" s="27"/>
      <c r="G24" s="27"/>
      <c r="H24" s="27"/>
      <c r="I24" s="27"/>
      <c r="J24" s="27"/>
      <c r="K24" s="27"/>
      <c r="L24" s="27"/>
    </row>
    <row r="25" customFormat="false" ht="15" hidden="false" customHeight="false" outlineLevel="0" collapsed="false">
      <c r="B25" s="12"/>
      <c r="C25" s="27"/>
      <c r="D25" s="27"/>
      <c r="E25" s="27"/>
      <c r="F25" s="27"/>
      <c r="G25" s="27"/>
      <c r="H25" s="27"/>
      <c r="I25" s="27"/>
      <c r="J25" s="27"/>
      <c r="K25" s="27"/>
      <c r="L25" s="27"/>
    </row>
    <row r="26" customFormat="false" ht="15" hidden="false" customHeight="false" outlineLevel="0" collapsed="false">
      <c r="B26" s="12"/>
      <c r="C26" s="27"/>
      <c r="D26" s="27"/>
      <c r="E26" s="27"/>
      <c r="F26" s="27"/>
      <c r="G26" s="27"/>
      <c r="H26" s="27"/>
      <c r="I26" s="27"/>
      <c r="J26" s="27"/>
      <c r="K26" s="27"/>
      <c r="L26" s="27"/>
    </row>
    <row r="27" customFormat="false" ht="15" hidden="false" customHeight="false" outlineLevel="0" collapsed="false">
      <c r="B27" s="12"/>
      <c r="C27" s="27"/>
      <c r="D27" s="27"/>
      <c r="E27" s="27"/>
      <c r="F27" s="27"/>
      <c r="G27" s="27"/>
      <c r="H27" s="27"/>
      <c r="I27" s="27"/>
      <c r="J27" s="27"/>
      <c r="K27" s="27"/>
      <c r="L27" s="27"/>
    </row>
    <row r="28" customFormat="false" ht="15" hidden="false" customHeight="false" outlineLevel="0" collapsed="false">
      <c r="B28" s="12"/>
      <c r="C28" s="27"/>
      <c r="D28" s="27"/>
      <c r="E28" s="27"/>
      <c r="F28" s="27"/>
      <c r="G28" s="27"/>
      <c r="H28" s="27"/>
      <c r="I28" s="27"/>
      <c r="J28" s="27"/>
      <c r="K28" s="27"/>
      <c r="L28" s="27"/>
    </row>
    <row r="29" customFormat="false" ht="15" hidden="false" customHeight="false" outlineLevel="0" collapsed="false">
      <c r="B29" s="12"/>
      <c r="C29" s="27"/>
      <c r="D29" s="27"/>
      <c r="E29" s="27"/>
      <c r="F29" s="27"/>
      <c r="G29" s="27"/>
      <c r="H29" s="27"/>
      <c r="I29" s="27"/>
      <c r="J29" s="27"/>
      <c r="K29" s="27"/>
      <c r="L29" s="27"/>
    </row>
    <row r="30" customFormat="false" ht="15" hidden="false" customHeight="false" outlineLevel="0" collapsed="false">
      <c r="B30" s="12"/>
      <c r="C30" s="27"/>
      <c r="D30" s="27"/>
      <c r="E30" s="27"/>
      <c r="F30" s="27"/>
      <c r="G30" s="27"/>
      <c r="H30" s="27"/>
      <c r="I30" s="27"/>
      <c r="J30" s="27"/>
      <c r="K30" s="27"/>
      <c r="L30" s="27"/>
    </row>
    <row r="31" customFormat="false" ht="15" hidden="false" customHeight="false" outlineLevel="0" collapsed="false">
      <c r="B31" s="12"/>
      <c r="C31" s="27"/>
      <c r="D31" s="27"/>
      <c r="E31" s="27"/>
      <c r="F31" s="27"/>
      <c r="G31" s="27"/>
      <c r="H31" s="27"/>
      <c r="I31" s="27"/>
      <c r="J31" s="27"/>
      <c r="K31" s="27"/>
      <c r="L31" s="27"/>
    </row>
    <row r="32" customFormat="false" ht="15" hidden="false" customHeight="false" outlineLevel="0" collapsed="false">
      <c r="B32" s="12"/>
      <c r="C32" s="27"/>
      <c r="D32" s="27"/>
      <c r="E32" s="27"/>
      <c r="F32" s="27"/>
      <c r="G32" s="27"/>
      <c r="H32" s="27"/>
      <c r="I32" s="27"/>
      <c r="J32" s="27"/>
      <c r="K32" s="27"/>
      <c r="L32" s="27"/>
    </row>
    <row r="35" customFormat="false" ht="30" hidden="false" customHeight="true" outlineLevel="0" collapsed="false">
      <c r="B35" s="22" t="s">
        <v>94</v>
      </c>
      <c r="C35" s="22"/>
      <c r="D35" s="22"/>
      <c r="E35" s="22"/>
      <c r="F35" s="22"/>
      <c r="G35" s="22"/>
      <c r="H35" s="22"/>
      <c r="I35" s="22"/>
      <c r="J35" s="22"/>
      <c r="K35" s="22"/>
      <c r="L35" s="22"/>
    </row>
    <row r="36" customFormat="false" ht="30" hidden="false" customHeight="true" outlineLevel="0" collapsed="false">
      <c r="B36" s="22"/>
      <c r="C36" s="22"/>
      <c r="D36" s="22"/>
      <c r="E36" s="22"/>
      <c r="F36" s="22"/>
      <c r="G36" s="22"/>
      <c r="H36" s="22"/>
      <c r="I36" s="22"/>
      <c r="J36" s="22"/>
      <c r="K36" s="22"/>
      <c r="L36" s="22"/>
    </row>
    <row r="40" customFormat="false" ht="3" hidden="false" customHeight="true" outlineLevel="0" collapsed="false">
      <c r="A40" s="9"/>
      <c r="B40" s="9"/>
      <c r="C40" s="9"/>
      <c r="D40" s="9"/>
      <c r="E40" s="9"/>
      <c r="F40" s="9"/>
      <c r="G40" s="9"/>
      <c r="H40" s="9"/>
      <c r="I40" s="9"/>
      <c r="J40" s="9"/>
      <c r="K40" s="9"/>
      <c r="L40" s="9"/>
      <c r="M40" s="9"/>
    </row>
    <row r="41" customFormat="false" ht="21.75" hidden="false" customHeight="true" outlineLevel="0" collapsed="false">
      <c r="A41" s="23" t="s">
        <v>49</v>
      </c>
      <c r="B41" s="23"/>
      <c r="C41" s="23"/>
      <c r="D41" s="23"/>
      <c r="E41" s="23"/>
      <c r="F41" s="23"/>
      <c r="G41" s="23"/>
      <c r="H41" s="23"/>
      <c r="I41" s="23"/>
      <c r="J41" s="23"/>
      <c r="K41" s="23"/>
      <c r="L41" s="23"/>
      <c r="M41"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35:L36"/>
    <mergeCell ref="A40:M40"/>
    <mergeCell ref="A41:M4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6B4D"/>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2"/>
    <col collapsed="false" customWidth="true" hidden="false" outlineLevel="0" max="7" min="4" style="0" width="10"/>
    <col collapsed="false" customWidth="true" hidden="false" outlineLevel="0" max="9" min="8" style="0" width="12"/>
    <col collapsed="false" customWidth="true" hidden="false" outlineLevel="0" max="12" min="10"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95</v>
      </c>
      <c r="K1" s="3"/>
      <c r="L1" s="3"/>
      <c r="M1" s="3"/>
    </row>
    <row r="2" customFormat="false" ht="54" hidden="false" customHeight="true" outlineLevel="0" collapsed="false">
      <c r="A2" s="4" t="str">
        <f aca="false">"FUNDS"&amp;CHAR(10)&amp;(COUNTA(B9:B22))</f>
        <v>FUNDS
8</v>
      </c>
      <c r="B2" s="4"/>
      <c r="C2" s="4" t="str">
        <f aca="false">"AVG ER"&amp;CHAR(10)&amp;(TEXT(IFERROR(AVERAGE(F9:F22),0),"0.00%"))</f>
        <v>AVG ER
13874.29%</v>
      </c>
      <c r="D2" s="4"/>
      <c r="E2" s="4" t="str">
        <f aca="false">"TOTAL VALUE"&amp;CHAR(10)&amp;(TEXT(SUM(I9:I22),"$#,##0"))</f>
        <v>TOTAL VALUE
$169,341</v>
      </c>
      <c r="F2" s="4"/>
      <c r="G2" s="4" t="str">
        <f aca="false">"ER COST/YR"&amp;CHAR(10)&amp;(TEXT(SUMPRODUCT(F9:F22,I9:I22),"$#,##0"))</f>
        <v>ER COST/YR
$27,384,585</v>
      </c>
      <c r="H2" s="4"/>
      <c r="I2" s="4" t="str">
        <f aca="false">"LOW-ER FUNDS"&amp;CHAR(10)&amp;(COUNTIF(F9:F22,"&lt;0.001"))</f>
        <v>LOW-ER FUNDS
0</v>
      </c>
      <c r="J2" s="4"/>
      <c r="K2" s="4" t="str">
        <f aca="false">"HIGH-ER FUNDS"&amp;CHAR(10)&amp;(COUNTIF(F9:F22,"&gt;0.0075"))</f>
        <v>HIGH-ER FUNDS
7</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96</v>
      </c>
      <c r="B4" s="6"/>
      <c r="C4" s="6"/>
      <c r="D4" s="6"/>
      <c r="E4" s="6"/>
      <c r="F4" s="6"/>
      <c r="G4" s="6"/>
      <c r="H4" s="6"/>
      <c r="I4" s="6"/>
      <c r="J4" s="6"/>
      <c r="K4" s="6"/>
      <c r="L4" s="6"/>
      <c r="M4" s="6"/>
    </row>
    <row r="6" customFormat="false" ht="25.5" hidden="false" customHeight="true" outlineLevel="0" collapsed="false">
      <c r="B6" s="7" t="s">
        <v>97</v>
      </c>
      <c r="C6" s="7"/>
      <c r="D6" s="7"/>
      <c r="E6" s="7"/>
      <c r="F6" s="7"/>
      <c r="G6" s="7"/>
      <c r="H6" s="7"/>
      <c r="I6" s="7"/>
      <c r="J6" s="7"/>
      <c r="K6" s="7"/>
      <c r="L6" s="7"/>
    </row>
    <row r="7" customFormat="false" ht="18" hidden="false" customHeight="true" outlineLevel="0" collapsed="false">
      <c r="B7" s="8" t="s">
        <v>98</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8</v>
      </c>
      <c r="C10" s="10" t="s">
        <v>99</v>
      </c>
      <c r="D10" s="10" t="s">
        <v>100</v>
      </c>
      <c r="E10" s="10" t="s">
        <v>101</v>
      </c>
      <c r="F10" s="10" t="s">
        <v>102</v>
      </c>
      <c r="G10" s="10" t="s">
        <v>103</v>
      </c>
      <c r="H10" s="10" t="s">
        <v>104</v>
      </c>
      <c r="I10" s="10" t="s">
        <v>105</v>
      </c>
      <c r="J10" s="10" t="s">
        <v>20</v>
      </c>
      <c r="K10" s="10" t="s">
        <v>106</v>
      </c>
      <c r="L10" s="11" t="s">
        <v>107</v>
      </c>
    </row>
    <row r="11" customFormat="false" ht="16.9" hidden="false" customHeight="false" outlineLevel="0" collapsed="false">
      <c r="B11" s="12" t="s">
        <v>55</v>
      </c>
      <c r="C11" s="25" t="s">
        <v>108</v>
      </c>
      <c r="D11" s="42" t="s">
        <v>109</v>
      </c>
      <c r="E11" s="39" t="n">
        <v>350</v>
      </c>
      <c r="F11" s="27" t="n">
        <v>185.4</v>
      </c>
      <c r="G11" s="43" t="n">
        <v>0.0003</v>
      </c>
      <c r="H11" s="29" t="n">
        <v>245</v>
      </c>
      <c r="I11" s="17" t="n">
        <f aca="false">IFERROR(E11*F11,"")</f>
        <v>64890</v>
      </c>
      <c r="J11" s="30" t="n">
        <f aca="false">IFERROR(E11*H11,"")</f>
        <v>85750</v>
      </c>
      <c r="K11" s="44" t="n">
        <v>0.014</v>
      </c>
      <c r="L11" s="45" t="s">
        <v>39</v>
      </c>
    </row>
    <row r="12" customFormat="false" ht="16.9" hidden="false" customHeight="false" outlineLevel="0" collapsed="false">
      <c r="B12" s="12" t="s">
        <v>88</v>
      </c>
      <c r="C12" s="25" t="s">
        <v>110</v>
      </c>
      <c r="D12" s="42" t="s">
        <v>109</v>
      </c>
      <c r="E12" s="39" t="n">
        <v>60</v>
      </c>
      <c r="F12" s="27" t="n">
        <v>380.2</v>
      </c>
      <c r="G12" s="43" t="n">
        <v>0.0003</v>
      </c>
      <c r="H12" s="29" t="n">
        <v>440</v>
      </c>
      <c r="I12" s="17" t="n">
        <f aca="false">IFERROR(E12*F12,"")</f>
        <v>22812</v>
      </c>
      <c r="J12" s="30" t="n">
        <f aca="false">IFERROR(E12*H12,"")</f>
        <v>26400</v>
      </c>
      <c r="K12" s="44" t="n">
        <v>0.013</v>
      </c>
      <c r="L12" s="45" t="s">
        <v>39</v>
      </c>
    </row>
    <row r="13" customFormat="false" ht="16.9" hidden="false" customHeight="false" outlineLevel="0" collapsed="false">
      <c r="B13" s="12" t="s">
        <v>58</v>
      </c>
      <c r="C13" s="25" t="s">
        <v>111</v>
      </c>
      <c r="D13" s="42" t="s">
        <v>109</v>
      </c>
      <c r="E13" s="39" t="n">
        <v>180</v>
      </c>
      <c r="F13" s="27" t="n">
        <v>56.8</v>
      </c>
      <c r="G13" s="43" t="n">
        <v>0.0007</v>
      </c>
      <c r="H13" s="29" t="n">
        <v>59.8</v>
      </c>
      <c r="I13" s="17" t="n">
        <f aca="false">IFERROR(E13*F13,"")</f>
        <v>10224</v>
      </c>
      <c r="J13" s="30" t="n">
        <f aca="false">IFERROR(E13*H13,"")</f>
        <v>10764</v>
      </c>
      <c r="K13" s="44" t="n">
        <v>0.029</v>
      </c>
      <c r="L13" s="45" t="s">
        <v>42</v>
      </c>
    </row>
    <row r="14" customFormat="false" ht="16.9" hidden="false" customHeight="false" outlineLevel="0" collapsed="false">
      <c r="B14" s="12" t="s">
        <v>92</v>
      </c>
      <c r="C14" s="25" t="s">
        <v>112</v>
      </c>
      <c r="D14" s="42" t="s">
        <v>109</v>
      </c>
      <c r="E14" s="39" t="n">
        <v>220</v>
      </c>
      <c r="F14" s="27" t="n">
        <v>71.4</v>
      </c>
      <c r="G14" s="43" t="n">
        <v>0.0006</v>
      </c>
      <c r="H14" s="29" t="n">
        <v>82.1</v>
      </c>
      <c r="I14" s="17" t="n">
        <f aca="false">IFERROR(E14*F14,"")</f>
        <v>15708</v>
      </c>
      <c r="J14" s="30" t="n">
        <f aca="false">IFERROR(E14*H14,"")</f>
        <v>18062</v>
      </c>
      <c r="K14" s="44" t="n">
        <v>0.034</v>
      </c>
      <c r="L14" s="45" t="s">
        <v>39</v>
      </c>
    </row>
    <row r="15" customFormat="false" ht="16.9" hidden="false" customHeight="false" outlineLevel="0" collapsed="false">
      <c r="B15" s="12" t="s">
        <v>93</v>
      </c>
      <c r="C15" s="25" t="s">
        <v>113</v>
      </c>
      <c r="D15" s="42" t="s">
        <v>109</v>
      </c>
      <c r="E15" s="39" t="n">
        <v>80</v>
      </c>
      <c r="F15" s="27" t="n">
        <v>105.2</v>
      </c>
      <c r="G15" s="43" t="n">
        <v>0.0006</v>
      </c>
      <c r="H15" s="29" t="n">
        <v>117.6</v>
      </c>
      <c r="I15" s="17" t="n">
        <f aca="false">IFERROR(E15*F15,"")</f>
        <v>8416</v>
      </c>
      <c r="J15" s="30" t="n">
        <f aca="false">IFERROR(E15*H15,"")</f>
        <v>9408</v>
      </c>
      <c r="K15" s="44" t="n">
        <v>0.029</v>
      </c>
      <c r="L15" s="45" t="s">
        <v>39</v>
      </c>
    </row>
    <row r="16" customFormat="false" ht="16.9" hidden="false" customHeight="false" outlineLevel="0" collapsed="false">
      <c r="B16" s="12" t="s">
        <v>114</v>
      </c>
      <c r="C16" s="25" t="s">
        <v>115</v>
      </c>
      <c r="D16" s="42" t="s">
        <v>116</v>
      </c>
      <c r="E16" s="39" t="n">
        <v>266</v>
      </c>
      <c r="F16" s="27" t="n">
        <v>94</v>
      </c>
      <c r="G16" s="43" t="n">
        <v>0.0004</v>
      </c>
      <c r="H16" s="29" t="n">
        <v>124.5</v>
      </c>
      <c r="I16" s="17" t="n">
        <f aca="false">IFERROR(E16*F16,"")</f>
        <v>25004</v>
      </c>
      <c r="J16" s="30" t="n">
        <f aca="false">IFERROR(E16*H16,"")</f>
        <v>33117</v>
      </c>
      <c r="K16" s="44" t="n">
        <v>0.014</v>
      </c>
      <c r="L16" s="45" t="s">
        <v>117</v>
      </c>
    </row>
    <row r="17" customFormat="false" ht="16.9" hidden="false" customHeight="false" outlineLevel="0" collapsed="false">
      <c r="B17" s="12" t="s">
        <v>59</v>
      </c>
      <c r="C17" s="25" t="s">
        <v>118</v>
      </c>
      <c r="D17" s="42" t="s">
        <v>109</v>
      </c>
      <c r="E17" s="39" t="n">
        <v>285</v>
      </c>
      <c r="F17" s="27" t="n">
        <v>78.2</v>
      </c>
      <c r="G17" s="43" t="n">
        <v>0.0003</v>
      </c>
      <c r="H17" s="29" t="n">
        <v>75.1</v>
      </c>
      <c r="I17" s="17" t="n">
        <f aca="false">IFERROR(E17*F17,"")</f>
        <v>22287</v>
      </c>
      <c r="J17" s="30" t="n">
        <f aca="false">IFERROR(E17*H17,"")</f>
        <v>21403.5</v>
      </c>
      <c r="K17" s="44" t="n">
        <v>0.041</v>
      </c>
      <c r="L17" s="45" t="s">
        <v>119</v>
      </c>
    </row>
    <row r="18" customFormat="false" ht="15" hidden="false" customHeight="false" outlineLevel="0" collapsed="false">
      <c r="B18" s="12"/>
      <c r="C18" s="25"/>
      <c r="D18" s="42"/>
      <c r="E18" s="39"/>
      <c r="F18" s="27"/>
      <c r="G18" s="43"/>
      <c r="H18" s="29"/>
      <c r="I18" s="17" t="n">
        <f aca="false">IFERROR(E18*F18,"")</f>
        <v>0</v>
      </c>
      <c r="J18" s="30" t="n">
        <f aca="false">IFERROR(E18*H18,"")</f>
        <v>0</v>
      </c>
      <c r="K18" s="44"/>
      <c r="L18" s="45"/>
    </row>
    <row r="19" customFormat="false" ht="15" hidden="false" customHeight="false" outlineLevel="0" collapsed="false">
      <c r="B19" s="12"/>
      <c r="C19" s="25"/>
      <c r="D19" s="42"/>
      <c r="E19" s="39"/>
      <c r="F19" s="27"/>
      <c r="G19" s="43"/>
      <c r="H19" s="29"/>
      <c r="I19" s="17" t="n">
        <f aca="false">IFERROR(E19*F19,"")</f>
        <v>0</v>
      </c>
      <c r="J19" s="30" t="n">
        <f aca="false">IFERROR(E19*H19,"")</f>
        <v>0</v>
      </c>
      <c r="K19" s="44"/>
      <c r="L19" s="45"/>
    </row>
    <row r="20" customFormat="false" ht="15" hidden="false" customHeight="false" outlineLevel="0" collapsed="false">
      <c r="B20" s="12"/>
      <c r="C20" s="25"/>
      <c r="D20" s="42"/>
      <c r="E20" s="39"/>
      <c r="F20" s="27"/>
      <c r="G20" s="43"/>
      <c r="H20" s="29"/>
      <c r="I20" s="17" t="n">
        <f aca="false">IFERROR(E20*F20,"")</f>
        <v>0</v>
      </c>
      <c r="J20" s="30" t="n">
        <f aca="false">IFERROR(E20*H20,"")</f>
        <v>0</v>
      </c>
      <c r="K20" s="44"/>
      <c r="L20" s="45"/>
    </row>
    <row r="21" customFormat="false" ht="15" hidden="false" customHeight="false" outlineLevel="0" collapsed="false">
      <c r="B21" s="12"/>
      <c r="C21" s="25"/>
      <c r="D21" s="42"/>
      <c r="E21" s="39"/>
      <c r="F21" s="27"/>
      <c r="G21" s="43"/>
      <c r="H21" s="29"/>
      <c r="I21" s="17" t="n">
        <f aca="false">IFERROR(E21*F21,"")</f>
        <v>0</v>
      </c>
      <c r="J21" s="30" t="n">
        <f aca="false">IFERROR(E21*H21,"")</f>
        <v>0</v>
      </c>
      <c r="K21" s="44"/>
      <c r="L21" s="45"/>
    </row>
    <row r="22" customFormat="false" ht="15" hidden="false" customHeight="false" outlineLevel="0" collapsed="false">
      <c r="B22" s="12"/>
      <c r="C22" s="25"/>
      <c r="D22" s="42"/>
      <c r="E22" s="39"/>
      <c r="F22" s="27"/>
      <c r="G22" s="43"/>
      <c r="H22" s="29"/>
      <c r="I22" s="17" t="n">
        <f aca="false">IFERROR(E22*F22,"")</f>
        <v>0</v>
      </c>
      <c r="J22" s="30" t="n">
        <f aca="false">IFERROR(E22*H22,"")</f>
        <v>0</v>
      </c>
      <c r="K22" s="44"/>
      <c r="L22" s="45"/>
    </row>
    <row r="23" customFormat="false" ht="15" hidden="false" customHeight="false" outlineLevel="0" collapsed="false">
      <c r="B23" s="12"/>
      <c r="C23" s="25"/>
      <c r="D23" s="42"/>
      <c r="E23" s="39"/>
      <c r="F23" s="27"/>
      <c r="G23" s="43"/>
      <c r="H23" s="29"/>
      <c r="I23" s="17" t="n">
        <f aca="false">IFERROR(E23*F23,"")</f>
        <v>0</v>
      </c>
      <c r="J23" s="30" t="n">
        <f aca="false">IFERROR(E23*H23,"")</f>
        <v>0</v>
      </c>
      <c r="K23" s="44"/>
      <c r="L23" s="45"/>
    </row>
    <row r="24" customFormat="false" ht="15" hidden="false" customHeight="false" outlineLevel="0" collapsed="false">
      <c r="B24" s="12"/>
      <c r="C24" s="25"/>
      <c r="D24" s="42"/>
      <c r="E24" s="39"/>
      <c r="F24" s="27"/>
      <c r="G24" s="43"/>
      <c r="H24" s="29"/>
      <c r="I24" s="17" t="n">
        <f aca="false">IFERROR(E24*F24,"")</f>
        <v>0</v>
      </c>
      <c r="J24" s="30" t="n">
        <f aca="false">IFERROR(E24*H24,"")</f>
        <v>0</v>
      </c>
      <c r="K24" s="44"/>
      <c r="L24" s="45"/>
    </row>
    <row r="27" customFormat="false" ht="30" hidden="false" customHeight="true" outlineLevel="0" collapsed="false">
      <c r="B27" s="22" t="s">
        <v>120</v>
      </c>
      <c r="C27" s="22"/>
      <c r="D27" s="22"/>
      <c r="E27" s="22"/>
      <c r="F27" s="22"/>
      <c r="G27" s="22"/>
      <c r="H27" s="22"/>
      <c r="I27" s="22"/>
      <c r="J27" s="22"/>
      <c r="K27" s="22"/>
      <c r="L27" s="22"/>
    </row>
    <row r="28" customFormat="false" ht="30" hidden="false" customHeight="true" outlineLevel="0" collapsed="false">
      <c r="B28" s="22"/>
      <c r="C28" s="22"/>
      <c r="D28" s="22"/>
      <c r="E28" s="22"/>
      <c r="F28" s="22"/>
      <c r="G28" s="22"/>
      <c r="H28" s="22"/>
      <c r="I28" s="22"/>
      <c r="J28" s="22"/>
      <c r="K28" s="22"/>
      <c r="L28" s="22"/>
    </row>
    <row r="32" customFormat="false" ht="3" hidden="false" customHeight="true" outlineLevel="0" collapsed="false">
      <c r="A32" s="9"/>
      <c r="B32" s="9"/>
      <c r="C32" s="9"/>
      <c r="D32" s="9"/>
      <c r="E32" s="9"/>
      <c r="F32" s="9"/>
      <c r="G32" s="9"/>
      <c r="H32" s="9"/>
      <c r="I32" s="9"/>
      <c r="J32" s="9"/>
      <c r="K32" s="9"/>
      <c r="L32" s="9"/>
      <c r="M32" s="9"/>
    </row>
    <row r="33" customFormat="false" ht="21.75" hidden="false" customHeight="true" outlineLevel="0" collapsed="false">
      <c r="A33" s="23" t="s">
        <v>49</v>
      </c>
      <c r="B33" s="23"/>
      <c r="C33" s="23"/>
      <c r="D33" s="23"/>
      <c r="E33" s="23"/>
      <c r="F33" s="23"/>
      <c r="G33" s="23"/>
      <c r="H33" s="23"/>
      <c r="I33" s="23"/>
      <c r="J33" s="23"/>
      <c r="K33" s="23"/>
      <c r="L33" s="23"/>
      <c r="M33"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7:L28"/>
    <mergeCell ref="A32:M32"/>
    <mergeCell ref="A33:M33"/>
  </mergeCells>
  <conditionalFormatting sqref="G11:G24">
    <cfRule type="cellIs" priority="2" operator="greaterThan" aboveAverage="0" equalAverage="0" bottom="0" percent="0" rank="0" text="" dxfId="4">
      <formula>0.0075</formula>
    </cfRule>
    <cfRule type="cellIs" priority="3" operator="lessThan" aboveAverage="0" equalAverage="0" bottom="0" percent="0" rank="0" text="" dxfId="3">
      <formula>0.001</formula>
    </cfRule>
  </conditionalFormatting>
  <dataValidations count="1">
    <dataValidation allowBlank="true" errorStyle="stop" operator="between" showDropDown="false" showErrorMessage="false" showInputMessage="false" sqref="D11:D24" type="list">
      <formula1>"ETF,Mutual,Index"</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2" min="3" style="0" width="8"/>
    <col collapsed="false" customWidth="true" hidden="false" outlineLevel="0" max="14" min="14" style="0" width="11"/>
  </cols>
  <sheetData>
    <row r="1" customFormat="false" ht="31.5" hidden="false" customHeight="true" outlineLevel="0" collapsed="false">
      <c r="A1" s="1" t="s">
        <v>0</v>
      </c>
      <c r="B1" s="1"/>
      <c r="C1" s="1"/>
      <c r="D1" s="2" t="s">
        <v>1</v>
      </c>
      <c r="E1" s="2"/>
      <c r="F1" s="2"/>
      <c r="G1" s="2"/>
      <c r="H1" s="2"/>
      <c r="I1" s="2"/>
      <c r="J1" s="3" t="s">
        <v>121</v>
      </c>
      <c r="K1" s="3"/>
      <c r="L1" s="3"/>
      <c r="M1" s="3"/>
    </row>
    <row r="2" customFormat="false" ht="54" hidden="false" customHeight="true" outlineLevel="0" collapsed="false">
      <c r="A2" s="4" t="str">
        <f aca="false">"PAYERS"&amp;CHAR(10)&amp;(COUNTA(B9:B28))</f>
        <v>PAYERS
10</v>
      </c>
      <c r="B2" s="4"/>
      <c r="C2" s="4" t="str">
        <f aca="false">"YTD INCOME"&amp;CHAR(10)&amp;(TEXT(SUM(N9:N28),"$#,##0"))</f>
        <v>YTD INCOME
$3,065</v>
      </c>
      <c r="D2" s="4"/>
      <c r="E2" s="4" t="str">
        <f aca="false">"MoM AVG"&amp;CHAR(10)&amp;(TEXT(IFERROR(SUM(N9:N28)/12,0),"$#,##0"))</f>
        <v>MoM AVG
$255</v>
      </c>
      <c r="F2" s="4"/>
      <c r="G2" s="4" t="str">
        <f aca="false">"BIG MONTH"&amp;CHAR(10)&amp;(IFERROR(INDEX($C$8:$M$8,MATCH(MAX(SUMPRODUCT((C9:M28))),C9:M28,0)),"—"))</f>
        <v>BIG MONTH
—</v>
      </c>
      <c r="H2" s="4"/>
      <c r="I2" s="4" t="str">
        <f aca="false">"AVG YOC"&amp;CHAR(10)&amp;(TEXT(IFERROR(SUM(N9:N28)/SUMIF('📊 Holdings Master'!H9:H68,"&gt;0",'📊 Holdings Master'!H9:H68),0),"0.00%"))</f>
        <v>AVG YOC
2.85%</v>
      </c>
      <c r="J2" s="4"/>
      <c r="K2" s="4" t="str">
        <f aca="false">"PAYMENTS"&amp;CHAR(10)&amp;(SUMPRODUCT((C9:M28&gt;0)*1))</f>
        <v>PAYMENTS
45</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122</v>
      </c>
      <c r="B4" s="6"/>
      <c r="C4" s="6"/>
      <c r="D4" s="6"/>
      <c r="E4" s="6"/>
      <c r="F4" s="6"/>
      <c r="G4" s="6"/>
      <c r="H4" s="6"/>
      <c r="I4" s="6"/>
      <c r="J4" s="6"/>
      <c r="K4" s="6"/>
      <c r="L4" s="6"/>
      <c r="M4" s="6"/>
    </row>
    <row r="6" customFormat="false" ht="25.5" hidden="false" customHeight="true" outlineLevel="0" collapsed="false">
      <c r="B6" s="7" t="s">
        <v>123</v>
      </c>
      <c r="C6" s="7"/>
      <c r="D6" s="7"/>
      <c r="E6" s="7"/>
      <c r="F6" s="7"/>
      <c r="G6" s="7"/>
      <c r="H6" s="7"/>
      <c r="I6" s="7"/>
      <c r="J6" s="7"/>
      <c r="K6" s="7"/>
      <c r="L6" s="7"/>
      <c r="M6" s="7"/>
      <c r="N6" s="7"/>
    </row>
    <row r="7" customFormat="false" ht="18" hidden="false" customHeight="true" outlineLevel="0" collapsed="false">
      <c r="B7" s="8" t="s">
        <v>124</v>
      </c>
      <c r="C7" s="8"/>
      <c r="D7" s="8"/>
      <c r="E7" s="8"/>
      <c r="F7" s="8"/>
      <c r="G7" s="8"/>
      <c r="H7" s="8"/>
      <c r="I7" s="8"/>
      <c r="J7" s="8"/>
      <c r="K7" s="8"/>
      <c r="L7" s="8"/>
      <c r="M7" s="8"/>
      <c r="N7" s="8"/>
    </row>
    <row r="8" customFormat="false" ht="3" hidden="false" customHeight="true" outlineLevel="0" collapsed="false">
      <c r="B8" s="9"/>
      <c r="C8" s="9"/>
      <c r="D8" s="9"/>
      <c r="E8" s="9"/>
      <c r="F8" s="9"/>
      <c r="G8" s="9"/>
      <c r="H8" s="9"/>
      <c r="I8" s="9"/>
      <c r="J8" s="9"/>
      <c r="K8" s="9"/>
      <c r="L8" s="9"/>
      <c r="M8" s="9"/>
      <c r="N8" s="9"/>
    </row>
    <row r="10" customFormat="false" ht="24" hidden="false" customHeight="true" outlineLevel="0" collapsed="false">
      <c r="B10" s="33" t="s">
        <v>125</v>
      </c>
      <c r="C10" s="46" t="s">
        <v>37</v>
      </c>
      <c r="D10" s="46" t="s">
        <v>38</v>
      </c>
      <c r="E10" s="46" t="s">
        <v>39</v>
      </c>
      <c r="F10" s="46" t="s">
        <v>40</v>
      </c>
      <c r="G10" s="46" t="s">
        <v>41</v>
      </c>
      <c r="H10" s="46" t="s">
        <v>42</v>
      </c>
      <c r="I10" s="46" t="s">
        <v>43</v>
      </c>
      <c r="J10" s="46" t="s">
        <v>44</v>
      </c>
      <c r="K10" s="46" t="s">
        <v>45</v>
      </c>
      <c r="L10" s="46" t="s">
        <v>46</v>
      </c>
      <c r="M10" s="46" t="s">
        <v>47</v>
      </c>
      <c r="N10" s="47" t="s">
        <v>126</v>
      </c>
    </row>
    <row r="11" customFormat="false" ht="15" hidden="false" customHeight="false" outlineLevel="0" collapsed="false">
      <c r="B11" s="12" t="s">
        <v>92</v>
      </c>
      <c r="C11" s="48"/>
      <c r="D11" s="48"/>
      <c r="E11" s="48" t="n">
        <v>156</v>
      </c>
      <c r="F11" s="48"/>
      <c r="G11" s="48"/>
      <c r="H11" s="48" t="n">
        <v>156</v>
      </c>
      <c r="I11" s="48"/>
      <c r="J11" s="48"/>
      <c r="K11" s="48" t="n">
        <v>156</v>
      </c>
      <c r="L11" s="48"/>
      <c r="M11" s="48"/>
      <c r="N11" s="49" t="n">
        <f aca="false">IFERROR(SUM(C11:M11),0)</f>
        <v>468</v>
      </c>
    </row>
    <row r="12" customFormat="false" ht="15" hidden="false" customHeight="false" outlineLevel="0" collapsed="false">
      <c r="B12" s="12" t="s">
        <v>93</v>
      </c>
      <c r="C12" s="48"/>
      <c r="D12" s="48"/>
      <c r="E12" s="48" t="n">
        <v>74</v>
      </c>
      <c r="F12" s="48"/>
      <c r="G12" s="48"/>
      <c r="H12" s="48" t="n">
        <v>74</v>
      </c>
      <c r="I12" s="48"/>
      <c r="J12" s="48"/>
      <c r="K12" s="48" t="n">
        <v>74</v>
      </c>
      <c r="L12" s="48"/>
      <c r="M12" s="48"/>
      <c r="N12" s="49" t="n">
        <f aca="false">IFERROR(SUM(C12:M12),0)</f>
        <v>222</v>
      </c>
    </row>
    <row r="13" customFormat="false" ht="15" hidden="false" customHeight="false" outlineLevel="0" collapsed="false">
      <c r="B13" s="12" t="s">
        <v>127</v>
      </c>
      <c r="C13" s="48"/>
      <c r="D13" s="48"/>
      <c r="E13" s="48" t="n">
        <v>38</v>
      </c>
      <c r="F13" s="48"/>
      <c r="G13" s="48"/>
      <c r="H13" s="48" t="n">
        <v>38</v>
      </c>
      <c r="I13" s="48"/>
      <c r="J13" s="48"/>
      <c r="K13" s="48" t="n">
        <v>38</v>
      </c>
      <c r="L13" s="48"/>
      <c r="M13" s="48"/>
      <c r="N13" s="49" t="n">
        <f aca="false">IFERROR(SUM(C13:M13),0)</f>
        <v>114</v>
      </c>
    </row>
    <row r="14" customFormat="false" ht="15" hidden="false" customHeight="false" outlineLevel="0" collapsed="false">
      <c r="B14" s="12" t="s">
        <v>89</v>
      </c>
      <c r="C14" s="48"/>
      <c r="D14" s="48" t="n">
        <v>19</v>
      </c>
      <c r="E14" s="48"/>
      <c r="F14" s="48"/>
      <c r="G14" s="48" t="n">
        <v>19</v>
      </c>
      <c r="H14" s="48"/>
      <c r="I14" s="48"/>
      <c r="J14" s="48" t="n">
        <v>19</v>
      </c>
      <c r="K14" s="48"/>
      <c r="L14" s="48"/>
      <c r="M14" s="48" t="n">
        <v>19</v>
      </c>
      <c r="N14" s="49" t="n">
        <f aca="false">IFERROR(SUM(C14:M14),0)</f>
        <v>76</v>
      </c>
    </row>
    <row r="15" customFormat="false" ht="15" hidden="false" customHeight="false" outlineLevel="0" collapsed="false">
      <c r="B15" s="12" t="s">
        <v>90</v>
      </c>
      <c r="C15" s="48"/>
      <c r="D15" s="48"/>
      <c r="E15" s="48" t="n">
        <v>23</v>
      </c>
      <c r="F15" s="48"/>
      <c r="G15" s="48"/>
      <c r="H15" s="48" t="n">
        <v>23</v>
      </c>
      <c r="I15" s="48"/>
      <c r="J15" s="48"/>
      <c r="K15" s="48" t="n">
        <v>23</v>
      </c>
      <c r="L15" s="48"/>
      <c r="M15" s="48"/>
      <c r="N15" s="49" t="n">
        <f aca="false">IFERROR(SUM(C15:M15),0)</f>
        <v>69</v>
      </c>
    </row>
    <row r="16" customFormat="false" ht="15" hidden="false" customHeight="false" outlineLevel="0" collapsed="false">
      <c r="B16" s="12" t="s">
        <v>59</v>
      </c>
      <c r="C16" s="48" t="n">
        <v>78</v>
      </c>
      <c r="D16" s="48" t="n">
        <v>78</v>
      </c>
      <c r="E16" s="48" t="n">
        <v>78</v>
      </c>
      <c r="F16" s="48" t="n">
        <v>78</v>
      </c>
      <c r="G16" s="48" t="n">
        <v>78</v>
      </c>
      <c r="H16" s="48" t="n">
        <v>78</v>
      </c>
      <c r="I16" s="48" t="n">
        <v>78</v>
      </c>
      <c r="J16" s="48" t="n">
        <v>78</v>
      </c>
      <c r="K16" s="48" t="n">
        <v>78</v>
      </c>
      <c r="L16" s="48" t="n">
        <v>78</v>
      </c>
      <c r="M16" s="48" t="n">
        <v>78</v>
      </c>
      <c r="N16" s="49" t="n">
        <f aca="false">IFERROR(SUM(C16:M16),0)</f>
        <v>858</v>
      </c>
    </row>
    <row r="17" customFormat="false" ht="15" hidden="false" customHeight="false" outlineLevel="0" collapsed="false">
      <c r="B17" s="12" t="s">
        <v>58</v>
      </c>
      <c r="C17" s="48"/>
      <c r="D17" s="48"/>
      <c r="E17" s="48"/>
      <c r="F17" s="48"/>
      <c r="G17" s="48"/>
      <c r="H17" s="48" t="n">
        <v>130</v>
      </c>
      <c r="I17" s="48"/>
      <c r="J17" s="48"/>
      <c r="K17" s="48"/>
      <c r="L17" s="48"/>
      <c r="M17" s="48"/>
      <c r="N17" s="49" t="n">
        <f aca="false">IFERROR(SUM(C17:M17),0)</f>
        <v>130</v>
      </c>
    </row>
    <row r="18" customFormat="false" ht="15" hidden="false" customHeight="false" outlineLevel="0" collapsed="false">
      <c r="B18" s="12" t="s">
        <v>55</v>
      </c>
      <c r="C18" s="48"/>
      <c r="D18" s="48"/>
      <c r="E18" s="48" t="n">
        <v>290</v>
      </c>
      <c r="F18" s="48"/>
      <c r="G18" s="48"/>
      <c r="H18" s="48" t="n">
        <v>290</v>
      </c>
      <c r="I18" s="48"/>
      <c r="J18" s="48"/>
      <c r="K18" s="48" t="n">
        <v>290</v>
      </c>
      <c r="L18" s="48"/>
      <c r="M18" s="48"/>
      <c r="N18" s="49" t="n">
        <f aca="false">IFERROR(SUM(C18:M18),0)</f>
        <v>870</v>
      </c>
    </row>
    <row r="19" customFormat="false" ht="15" hidden="false" customHeight="false" outlineLevel="0" collapsed="false">
      <c r="B19" s="12" t="s">
        <v>88</v>
      </c>
      <c r="C19" s="48"/>
      <c r="D19" s="48"/>
      <c r="E19" s="48" t="n">
        <v>86</v>
      </c>
      <c r="F19" s="48"/>
      <c r="G19" s="48"/>
      <c r="H19" s="48" t="n">
        <v>86</v>
      </c>
      <c r="I19" s="48"/>
      <c r="J19" s="48"/>
      <c r="K19" s="48" t="n">
        <v>86</v>
      </c>
      <c r="L19" s="48"/>
      <c r="M19" s="48"/>
      <c r="N19" s="49" t="n">
        <f aca="false">IFERROR(SUM(C19:M19),0)</f>
        <v>258</v>
      </c>
    </row>
    <row r="20" customFormat="false" ht="15" hidden="false" customHeight="false" outlineLevel="0" collapsed="false">
      <c r="B20" s="12"/>
      <c r="C20" s="48"/>
      <c r="D20" s="48"/>
      <c r="E20" s="48"/>
      <c r="F20" s="48"/>
      <c r="G20" s="48"/>
      <c r="H20" s="48"/>
      <c r="I20" s="48"/>
      <c r="J20" s="48"/>
      <c r="K20" s="48"/>
      <c r="L20" s="48"/>
      <c r="M20" s="48"/>
      <c r="N20" s="49" t="n">
        <f aca="false">IFERROR(SUM(C20:M20),0)</f>
        <v>0</v>
      </c>
    </row>
    <row r="21" customFormat="false" ht="15" hidden="false" customHeight="false" outlineLevel="0" collapsed="false">
      <c r="B21" s="12"/>
      <c r="C21" s="48"/>
      <c r="D21" s="48"/>
      <c r="E21" s="48"/>
      <c r="F21" s="48"/>
      <c r="G21" s="48"/>
      <c r="H21" s="48"/>
      <c r="I21" s="48"/>
      <c r="J21" s="48"/>
      <c r="K21" s="48"/>
      <c r="L21" s="48"/>
      <c r="M21" s="48"/>
      <c r="N21" s="49" t="n">
        <f aca="false">IFERROR(SUM(C21:M21),0)</f>
        <v>0</v>
      </c>
    </row>
    <row r="22" customFormat="false" ht="15" hidden="false" customHeight="false" outlineLevel="0" collapsed="false">
      <c r="B22" s="12"/>
      <c r="C22" s="48"/>
      <c r="D22" s="48"/>
      <c r="E22" s="48"/>
      <c r="F22" s="48"/>
      <c r="G22" s="48"/>
      <c r="H22" s="48"/>
      <c r="I22" s="48"/>
      <c r="J22" s="48"/>
      <c r="K22" s="48"/>
      <c r="L22" s="48"/>
      <c r="M22" s="48"/>
      <c r="N22" s="49" t="n">
        <f aca="false">IFERROR(SUM(C22:M22),0)</f>
        <v>0</v>
      </c>
    </row>
    <row r="23" customFormat="false" ht="15" hidden="false" customHeight="false" outlineLevel="0" collapsed="false">
      <c r="B23" s="12"/>
      <c r="C23" s="48"/>
      <c r="D23" s="48"/>
      <c r="E23" s="48"/>
      <c r="F23" s="48"/>
      <c r="G23" s="48"/>
      <c r="H23" s="48"/>
      <c r="I23" s="48"/>
      <c r="J23" s="48"/>
      <c r="K23" s="48"/>
      <c r="L23" s="48"/>
      <c r="M23" s="48"/>
      <c r="N23" s="49" t="n">
        <f aca="false">IFERROR(SUM(C23:M23),0)</f>
        <v>0</v>
      </c>
    </row>
    <row r="24" customFormat="false" ht="15" hidden="false" customHeight="false" outlineLevel="0" collapsed="false">
      <c r="B24" s="12"/>
      <c r="C24" s="48"/>
      <c r="D24" s="48"/>
      <c r="E24" s="48"/>
      <c r="F24" s="48"/>
      <c r="G24" s="48"/>
      <c r="H24" s="48"/>
      <c r="I24" s="48"/>
      <c r="J24" s="48"/>
      <c r="K24" s="48"/>
      <c r="L24" s="48"/>
      <c r="M24" s="48"/>
      <c r="N24" s="49" t="n">
        <f aca="false">IFERROR(SUM(C24:M24),0)</f>
        <v>0</v>
      </c>
    </row>
    <row r="25" customFormat="false" ht="15" hidden="false" customHeight="false" outlineLevel="0" collapsed="false">
      <c r="B25" s="12"/>
      <c r="C25" s="48"/>
      <c r="D25" s="48"/>
      <c r="E25" s="48"/>
      <c r="F25" s="48"/>
      <c r="G25" s="48"/>
      <c r="H25" s="48"/>
      <c r="I25" s="48"/>
      <c r="J25" s="48"/>
      <c r="K25" s="48"/>
      <c r="L25" s="48"/>
      <c r="M25" s="48"/>
      <c r="N25" s="49" t="n">
        <f aca="false">IFERROR(SUM(C25:M25),0)</f>
        <v>0</v>
      </c>
    </row>
    <row r="26" customFormat="false" ht="15" hidden="false" customHeight="false" outlineLevel="0" collapsed="false">
      <c r="B26" s="12"/>
      <c r="C26" s="48"/>
      <c r="D26" s="48"/>
      <c r="E26" s="48"/>
      <c r="F26" s="48"/>
      <c r="G26" s="48"/>
      <c r="H26" s="48"/>
      <c r="I26" s="48"/>
      <c r="J26" s="48"/>
      <c r="K26" s="48"/>
      <c r="L26" s="48"/>
      <c r="M26" s="48"/>
      <c r="N26" s="49" t="n">
        <f aca="false">IFERROR(SUM(C26:M26),0)</f>
        <v>0</v>
      </c>
    </row>
    <row r="27" customFormat="false" ht="15" hidden="false" customHeight="false" outlineLevel="0" collapsed="false">
      <c r="B27" s="12"/>
      <c r="C27" s="48"/>
      <c r="D27" s="48"/>
      <c r="E27" s="48"/>
      <c r="F27" s="48"/>
      <c r="G27" s="48"/>
      <c r="H27" s="48"/>
      <c r="I27" s="48"/>
      <c r="J27" s="48"/>
      <c r="K27" s="48"/>
      <c r="L27" s="48"/>
      <c r="M27" s="48"/>
      <c r="N27" s="49" t="n">
        <f aca="false">IFERROR(SUM(C27:M27),0)</f>
        <v>0</v>
      </c>
    </row>
    <row r="28" customFormat="false" ht="15" hidden="false" customHeight="false" outlineLevel="0" collapsed="false">
      <c r="B28" s="12"/>
      <c r="C28" s="48"/>
      <c r="D28" s="48"/>
      <c r="E28" s="48"/>
      <c r="F28" s="48"/>
      <c r="G28" s="48"/>
      <c r="H28" s="48"/>
      <c r="I28" s="48"/>
      <c r="J28" s="48"/>
      <c r="K28" s="48"/>
      <c r="L28" s="48"/>
      <c r="M28" s="48"/>
      <c r="N28" s="49" t="n">
        <f aca="false">IFERROR(SUM(C28:M28),0)</f>
        <v>0</v>
      </c>
    </row>
    <row r="29" customFormat="false" ht="15" hidden="false" customHeight="false" outlineLevel="0" collapsed="false">
      <c r="B29" s="12"/>
      <c r="C29" s="48"/>
      <c r="D29" s="48"/>
      <c r="E29" s="48"/>
      <c r="F29" s="48"/>
      <c r="G29" s="48"/>
      <c r="H29" s="48"/>
      <c r="I29" s="48"/>
      <c r="J29" s="48"/>
      <c r="K29" s="48"/>
      <c r="L29" s="48"/>
      <c r="M29" s="48"/>
      <c r="N29" s="49" t="n">
        <f aca="false">IFERROR(SUM(C29:M29),0)</f>
        <v>0</v>
      </c>
    </row>
    <row r="30" customFormat="false" ht="15" hidden="false" customHeight="false" outlineLevel="0" collapsed="false">
      <c r="B30" s="12"/>
      <c r="C30" s="48"/>
      <c r="D30" s="48"/>
      <c r="E30" s="48"/>
      <c r="F30" s="48"/>
      <c r="G30" s="48"/>
      <c r="H30" s="48"/>
      <c r="I30" s="48"/>
      <c r="J30" s="48"/>
      <c r="K30" s="48"/>
      <c r="L30" s="48"/>
      <c r="M30" s="48"/>
      <c r="N30" s="49" t="n">
        <f aca="false">IFERROR(SUM(C30:M30),0)</f>
        <v>0</v>
      </c>
    </row>
    <row r="32" customFormat="false" ht="25.5" hidden="false" customHeight="true" outlineLevel="0" collapsed="false">
      <c r="B32" s="50" t="s">
        <v>128</v>
      </c>
      <c r="C32" s="35" t="n">
        <f aca="false">SUM(C9:C28)</f>
        <v>78</v>
      </c>
      <c r="D32" s="35" t="n">
        <f aca="false">SUM(D9:D28)</f>
        <v>97</v>
      </c>
      <c r="E32" s="35" t="n">
        <f aca="false">SUM(E9:E28)</f>
        <v>745</v>
      </c>
      <c r="F32" s="35" t="n">
        <f aca="false">SUM(F9:F28)</f>
        <v>78</v>
      </c>
      <c r="G32" s="35" t="n">
        <f aca="false">SUM(G9:G28)</f>
        <v>97</v>
      </c>
      <c r="H32" s="35" t="n">
        <f aca="false">SUM(H9:H28)</f>
        <v>875</v>
      </c>
      <c r="I32" s="35" t="n">
        <f aca="false">SUM(I9:I28)</f>
        <v>78</v>
      </c>
      <c r="J32" s="35" t="n">
        <f aca="false">SUM(J9:J28)</f>
        <v>97</v>
      </c>
      <c r="K32" s="35" t="n">
        <f aca="false">SUM(K9:K28)</f>
        <v>745</v>
      </c>
      <c r="L32" s="35" t="n">
        <f aca="false">SUM(L9:L28)</f>
        <v>78</v>
      </c>
      <c r="M32" s="35" t="n">
        <f aca="false">SUM(M9:M28)</f>
        <v>97</v>
      </c>
      <c r="N32" s="51" t="n">
        <f aca="false">SUM(N9:N28)</f>
        <v>3065</v>
      </c>
    </row>
    <row r="35" customFormat="false" ht="31.5" hidden="false" customHeight="true" outlineLevel="0" collapsed="false">
      <c r="B35" s="22" t="s">
        <v>129</v>
      </c>
      <c r="C35" s="22"/>
      <c r="D35" s="22"/>
      <c r="E35" s="22"/>
      <c r="F35" s="22"/>
      <c r="G35" s="22"/>
      <c r="H35" s="22"/>
      <c r="I35" s="22"/>
      <c r="J35" s="22"/>
      <c r="K35" s="22"/>
      <c r="L35" s="22"/>
      <c r="M35" s="22"/>
      <c r="N35" s="22"/>
    </row>
    <row r="36" customFormat="false" ht="31.5" hidden="false" customHeight="true" outlineLevel="0" collapsed="false">
      <c r="B36" s="22"/>
      <c r="C36" s="22"/>
      <c r="D36" s="22"/>
      <c r="E36" s="22"/>
      <c r="F36" s="22"/>
      <c r="G36" s="22"/>
      <c r="H36" s="22"/>
      <c r="I36" s="22"/>
      <c r="J36" s="22"/>
      <c r="K36" s="22"/>
      <c r="L36" s="22"/>
      <c r="M36" s="22"/>
      <c r="N36" s="22"/>
    </row>
    <row r="40" customFormat="false" ht="3" hidden="false" customHeight="true" outlineLevel="0" collapsed="false">
      <c r="A40" s="9"/>
      <c r="B40" s="9"/>
      <c r="C40" s="9"/>
      <c r="D40" s="9"/>
      <c r="E40" s="9"/>
      <c r="F40" s="9"/>
      <c r="G40" s="9"/>
      <c r="H40" s="9"/>
      <c r="I40" s="9"/>
      <c r="J40" s="9"/>
      <c r="K40" s="9"/>
      <c r="L40" s="9"/>
      <c r="M40" s="9"/>
    </row>
    <row r="41" customFormat="false" ht="21.75" hidden="false" customHeight="true" outlineLevel="0" collapsed="false">
      <c r="A41" s="23" t="s">
        <v>49</v>
      </c>
      <c r="B41" s="23"/>
      <c r="C41" s="23"/>
      <c r="D41" s="23"/>
      <c r="E41" s="23"/>
      <c r="F41" s="23"/>
      <c r="G41" s="23"/>
      <c r="H41" s="23"/>
      <c r="I41" s="23"/>
      <c r="J41" s="23"/>
      <c r="K41" s="23"/>
      <c r="L41" s="23"/>
      <c r="M41" s="23"/>
    </row>
  </sheetData>
  <mergeCells count="17">
    <mergeCell ref="A1:C1"/>
    <mergeCell ref="D1:I1"/>
    <mergeCell ref="J1:M1"/>
    <mergeCell ref="A2:B2"/>
    <mergeCell ref="C2:D2"/>
    <mergeCell ref="E2:F2"/>
    <mergeCell ref="G2:H2"/>
    <mergeCell ref="I2:J2"/>
    <mergeCell ref="K2:M2"/>
    <mergeCell ref="A3:M3"/>
    <mergeCell ref="A4:M4"/>
    <mergeCell ref="B6:N6"/>
    <mergeCell ref="B7:N7"/>
    <mergeCell ref="B8:N8"/>
    <mergeCell ref="B35:N36"/>
    <mergeCell ref="A40:M40"/>
    <mergeCell ref="A41:M41"/>
  </mergeCells>
  <conditionalFormatting sqref="C32:M32">
    <cfRule type="cellIs" priority="2" operator="lessThan" aboveAverage="0" equalAverage="0" bottom="0" percent="0" rank="0" text="" dxfId="6">
      <formula>100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33"/>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3"/>
    <col collapsed="false" customWidth="true" hidden="false" outlineLevel="0" max="6" min="4" style="0" width="11"/>
    <col collapsed="false" customWidth="true" hidden="false" outlineLevel="0" max="7" min="7" style="0" width="15"/>
    <col collapsed="false" customWidth="true" hidden="false" outlineLevel="0" max="8" min="8" style="0" width="16"/>
    <col collapsed="false" customWidth="true" hidden="false" outlineLevel="0" max="9" min="9" style="0" width="12"/>
    <col collapsed="false" customWidth="true" hidden="false" outlineLevel="0" max="12" min="10" style="0" width="11"/>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130</v>
      </c>
      <c r="K1" s="3"/>
      <c r="L1" s="3"/>
      <c r="M1" s="3"/>
    </row>
    <row r="2" customFormat="false" ht="54" hidden="false" customHeight="true" outlineLevel="0" collapsed="false">
      <c r="A2" s="38" t="s">
        <v>131</v>
      </c>
      <c r="B2" s="38"/>
      <c r="C2" s="4" t="str">
        <f aca="false">"MAX DRIFT"&amp;CHAR(10)&amp;(TEXT(MAX(F11:F20)-MIN(F11:F20),"0.0%"))</f>
        <v>MAX DRIFT
6.9%</v>
      </c>
      <c r="D2" s="4"/>
      <c r="E2" s="4" t="str">
        <f aca="false">"OFF TARGET"&amp;CHAR(10)&amp;(COUNTIF(F11:F20,"&gt;0.05")+COUNTIF(F11:F20,"&lt;-0.05"))</f>
        <v>OFF TARGET
0</v>
      </c>
      <c r="F2" s="4"/>
      <c r="G2" s="4" t="str">
        <f aca="false">"REBALANCE NEEDED"&amp;CHAR(10)&amp;(IF(OR(COUNTIF(F11:F20,"&gt;0.05")&gt;0,COUNTIF(F11:F20,"&lt;-0.05")&gt;0),"YES","NO"))</f>
        <v>REBALANCE NEEDED
NO</v>
      </c>
      <c r="H2" s="4"/>
      <c r="I2" s="4" t="str">
        <f aca="false">"TOTAL VALUE"&amp;CHAR(10)&amp;(TEXT(SUM(C11:C20),"$#,##0"))</f>
        <v>TOTAL VALUE
$107,390</v>
      </c>
      <c r="J2" s="4"/>
      <c r="K2" s="4" t="str">
        <f aca="false">"TARGET SUM"&amp;CHAR(10)&amp;(TEXT(SUM(E11:E20),"0%"))</f>
        <v>TARGET SUM
100%</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132</v>
      </c>
      <c r="B4" s="6"/>
      <c r="C4" s="6"/>
      <c r="D4" s="6"/>
      <c r="E4" s="6"/>
      <c r="F4" s="6"/>
      <c r="G4" s="6"/>
      <c r="H4" s="6"/>
      <c r="I4" s="6"/>
      <c r="J4" s="6"/>
      <c r="K4" s="6"/>
      <c r="L4" s="6"/>
      <c r="M4" s="6"/>
    </row>
    <row r="6" customFormat="false" ht="25.5" hidden="false" customHeight="true" outlineLevel="0" collapsed="false">
      <c r="B6" s="7" t="s">
        <v>133</v>
      </c>
      <c r="C6" s="7"/>
      <c r="D6" s="7"/>
      <c r="E6" s="7"/>
      <c r="F6" s="7"/>
      <c r="G6" s="7"/>
      <c r="H6" s="7"/>
      <c r="I6" s="7"/>
      <c r="J6" s="7"/>
      <c r="K6" s="7"/>
      <c r="L6" s="7"/>
    </row>
    <row r="7" customFormat="false" ht="18" hidden="false" customHeight="true" outlineLevel="0" collapsed="false">
      <c r="B7" s="8" t="s">
        <v>134</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19</v>
      </c>
      <c r="C10" s="10" t="s">
        <v>20</v>
      </c>
      <c r="D10" s="10" t="s">
        <v>21</v>
      </c>
      <c r="E10" s="10" t="s">
        <v>22</v>
      </c>
      <c r="F10" s="10" t="s">
        <v>23</v>
      </c>
      <c r="G10" s="10" t="s">
        <v>135</v>
      </c>
      <c r="H10" s="10" t="s">
        <v>136</v>
      </c>
      <c r="I10" s="10" t="s">
        <v>137</v>
      </c>
      <c r="J10" s="11" t="s">
        <v>138</v>
      </c>
    </row>
    <row r="11" customFormat="false" ht="16.9" hidden="false" customHeight="false" outlineLevel="0" collapsed="false">
      <c r="B11" s="16" t="s">
        <v>25</v>
      </c>
      <c r="C11" s="17" t="n">
        <f aca="false">IFERROR(SUMIF('📊 Holdings Master'!D9:D68,B11,'📊 Holdings Master'!J9:J68),0)</f>
        <v>0</v>
      </c>
      <c r="D11" s="18" t="n">
        <f aca="false">IFERROR(C11/SUM(C11:C20),0)</f>
        <v>0</v>
      </c>
      <c r="E11" s="19" t="n">
        <v>0</v>
      </c>
      <c r="F11" s="20" t="n">
        <f aca="false">D11-E11</f>
        <v>0</v>
      </c>
      <c r="G11" s="52" t="str">
        <f aca="false">IF(F11&gt;0.05,"🔴 SELL/STOP BUYING",IF(F11&lt;-0.05,"🔴 BUY",IF(F11&gt;0.02,"⚠ Trim",IF(F11&lt;-0.02,"⚠ Add","✓ Hold"))))</f>
        <v>✓ Hold</v>
      </c>
      <c r="H11" s="53" t="n">
        <f aca="false">IFERROR(E11*SUM(C11:C20)-C11,0)</f>
        <v>0</v>
      </c>
      <c r="I11" s="41" t="str">
        <f aca="false">IF(B11="Bonds","Contribution-rebalance",IF(B11="Cash","Direct deposit",IF(F11&gt;0.05,"Sell taxable + tax cost","Redirect new $")))</f>
        <v>Redirect new $</v>
      </c>
      <c r="J11" s="54" t="n">
        <f aca="false">IF(I11="Sell taxable + tax cost",IFERROR(H11*-0.15,0),0)</f>
        <v>0</v>
      </c>
    </row>
    <row r="12" customFormat="false" ht="16.9" hidden="false" customHeight="false" outlineLevel="0" collapsed="false">
      <c r="B12" s="16" t="s">
        <v>26</v>
      </c>
      <c r="C12" s="17" t="n">
        <f aca="false">IFERROR(SUMIF('📊 Holdings Master'!D9:D68,B12,'📊 Holdings Master'!J9:J68),0)</f>
        <v>92950</v>
      </c>
      <c r="D12" s="18" t="n">
        <f aca="false">IFERROR(C12/SUM(C11:C20),0)</f>
        <v>0.865536828382531</v>
      </c>
      <c r="E12" s="19" t="n">
        <v>0.9</v>
      </c>
      <c r="F12" s="20" t="n">
        <f aca="false">D12-E12</f>
        <v>-0.034463171617469</v>
      </c>
      <c r="G12" s="52" t="str">
        <f aca="false">IF(F12&gt;0.05,"🔴 SELL/STOP BUYING",IF(F12&lt;-0.05,"🔴 BUY",IF(F12&gt;0.02,"⚠ Trim",IF(F12&lt;-0.02,"⚠ Add","✓ Hold"))))</f>
        <v>⚠ Add</v>
      </c>
      <c r="H12" s="53" t="n">
        <f aca="false">IFERROR(E12*SUM(C11:C20)-C12,0)</f>
        <v>3701</v>
      </c>
      <c r="I12" s="41" t="str">
        <f aca="false">IF(B12="Bonds","Contribution-rebalance",IF(B12="Cash","Direct deposit",IF(F12&gt;0.05,"Sell taxable + tax cost","Redirect new $")))</f>
        <v>Redirect new $</v>
      </c>
      <c r="J12" s="54" t="n">
        <f aca="false">IF(I12="Sell taxable + tax cost",IFERROR(H12*-0.15,0),0)</f>
        <v>0</v>
      </c>
    </row>
    <row r="13" customFormat="false" ht="16.9" hidden="false" customHeight="false" outlineLevel="0" collapsed="false">
      <c r="B13" s="16" t="s">
        <v>27</v>
      </c>
      <c r="C13" s="17" t="n">
        <f aca="false">IFERROR(SUMIF('📊 Holdings Master'!D9:D68,B13,'📊 Holdings Master'!J9:J68),0)</f>
        <v>0</v>
      </c>
      <c r="D13" s="18" t="n">
        <f aca="false">IFERROR(C13/SUM(C11:C20),0)</f>
        <v>0</v>
      </c>
      <c r="E13" s="19" t="n">
        <v>0</v>
      </c>
      <c r="F13" s="20" t="n">
        <f aca="false">D13-E13</f>
        <v>0</v>
      </c>
      <c r="G13" s="52" t="str">
        <f aca="false">IF(F13&gt;0.05,"🔴 SELL/STOP BUYING",IF(F13&lt;-0.05,"🔴 BUY",IF(F13&gt;0.02,"⚠ Trim",IF(F13&lt;-0.02,"⚠ Add","✓ Hold"))))</f>
        <v>✓ Hold</v>
      </c>
      <c r="H13" s="53" t="n">
        <f aca="false">IFERROR(E13*SUM(C11:C20)-C13,0)</f>
        <v>0</v>
      </c>
      <c r="I13" s="41" t="str">
        <f aca="false">IF(B13="Bonds","Contribution-rebalance",IF(B13="Cash","Direct deposit",IF(F13&gt;0.05,"Sell taxable + tax cost","Redirect new $")))</f>
        <v>Redirect new $</v>
      </c>
      <c r="J13" s="54" t="n">
        <f aca="false">IF(I13="Sell taxable + tax cost",IFERROR(H13*-0.15,0),0)</f>
        <v>0</v>
      </c>
    </row>
    <row r="14" customFormat="false" ht="16.9" hidden="false" customHeight="false" outlineLevel="0" collapsed="false">
      <c r="B14" s="16" t="s">
        <v>28</v>
      </c>
      <c r="C14" s="17" t="n">
        <f aca="false">IFERROR(SUMIF('📊 Holdings Master'!D9:D68,B14,'📊 Holdings Master'!J9:J68),0)</f>
        <v>14440</v>
      </c>
      <c r="D14" s="18" t="n">
        <f aca="false">IFERROR(C14/SUM(C11:C20),0)</f>
        <v>0.134463171617469</v>
      </c>
      <c r="E14" s="19" t="n">
        <v>0.1</v>
      </c>
      <c r="F14" s="20" t="n">
        <f aca="false">D14-E14</f>
        <v>0.034463171617469</v>
      </c>
      <c r="G14" s="52" t="str">
        <f aca="false">IF(F14&gt;0.05,"🔴 SELL/STOP BUYING",IF(F14&lt;-0.05,"🔴 BUY",IF(F14&gt;0.02,"⚠ Trim",IF(F14&lt;-0.02,"⚠ Add","✓ Hold"))))</f>
        <v>⚠ Trim</v>
      </c>
      <c r="H14" s="53" t="n">
        <f aca="false">IFERROR(E14*SUM(C11:C20)-C14,0)</f>
        <v>-3701</v>
      </c>
      <c r="I14" s="41" t="str">
        <f aca="false">IF(B14="Bonds","Contribution-rebalance",IF(B14="Cash","Direct deposit",IF(F14&gt;0.05,"Sell taxable + tax cost","Redirect new $")))</f>
        <v>Contribution-rebalance</v>
      </c>
      <c r="J14" s="54" t="n">
        <f aca="false">IF(I14="Sell taxable + tax cost",IFERROR(H14*-0.15,0),0)</f>
        <v>0</v>
      </c>
    </row>
    <row r="15" customFormat="false" ht="16.9" hidden="false" customHeight="false" outlineLevel="0" collapsed="false">
      <c r="B15" s="16" t="s">
        <v>29</v>
      </c>
      <c r="C15" s="17" t="n">
        <f aca="false">IFERROR(SUMIF('📊 Holdings Master'!D9:D68,B15,'📊 Holdings Master'!J9:J68),0)</f>
        <v>0</v>
      </c>
      <c r="D15" s="18" t="n">
        <f aca="false">IFERROR(C15/SUM(C11:C20),0)</f>
        <v>0</v>
      </c>
      <c r="E15" s="19" t="n">
        <v>0</v>
      </c>
      <c r="F15" s="20" t="n">
        <f aca="false">D15-E15</f>
        <v>0</v>
      </c>
      <c r="G15" s="52" t="str">
        <f aca="false">IF(F15&gt;0.05,"🔴 SELL/STOP BUYING",IF(F15&lt;-0.05,"🔴 BUY",IF(F15&gt;0.02,"⚠ Trim",IF(F15&lt;-0.02,"⚠ Add","✓ Hold"))))</f>
        <v>✓ Hold</v>
      </c>
      <c r="H15" s="53" t="n">
        <f aca="false">IFERROR(E15*SUM(C11:C20)-C15,0)</f>
        <v>0</v>
      </c>
      <c r="I15" s="41" t="str">
        <f aca="false">IF(B15="Bonds","Contribution-rebalance",IF(B15="Cash","Direct deposit",IF(F15&gt;0.05,"Sell taxable + tax cost","Redirect new $")))</f>
        <v>Direct deposit</v>
      </c>
      <c r="J15" s="54" t="n">
        <f aca="false">IF(I15="Sell taxable + tax cost",IFERROR(H15*-0.15,0),0)</f>
        <v>0</v>
      </c>
    </row>
    <row r="16" customFormat="false" ht="16.9" hidden="false" customHeight="false" outlineLevel="0" collapsed="false">
      <c r="B16" s="16" t="s">
        <v>30</v>
      </c>
      <c r="C16" s="17" t="n">
        <f aca="false">IFERROR(SUMIF('📊 Holdings Master'!D9:D68,B16,'📊 Holdings Master'!J9:J68),0)</f>
        <v>0</v>
      </c>
      <c r="D16" s="18" t="n">
        <f aca="false">IFERROR(C16/SUM(C11:C20),0)</f>
        <v>0</v>
      </c>
      <c r="E16" s="19" t="n">
        <v>0</v>
      </c>
      <c r="F16" s="20" t="n">
        <f aca="false">D16-E16</f>
        <v>0</v>
      </c>
      <c r="G16" s="52" t="str">
        <f aca="false">IF(F16&gt;0.05,"🔴 SELL/STOP BUYING",IF(F16&lt;-0.05,"🔴 BUY",IF(F16&gt;0.02,"⚠ Trim",IF(F16&lt;-0.02,"⚠ Add","✓ Hold"))))</f>
        <v>✓ Hold</v>
      </c>
      <c r="H16" s="53" t="n">
        <f aca="false">IFERROR(E16*SUM(C11:C20)-C16,0)</f>
        <v>0</v>
      </c>
      <c r="I16" s="41" t="str">
        <f aca="false">IF(B16="Bonds","Contribution-rebalance",IF(B16="Cash","Direct deposit",IF(F16&gt;0.05,"Sell taxable + tax cost","Redirect new $")))</f>
        <v>Redirect new $</v>
      </c>
      <c r="J16" s="54" t="n">
        <f aca="false">IF(I16="Sell taxable + tax cost",IFERROR(H16*-0.15,0),0)</f>
        <v>0</v>
      </c>
    </row>
    <row r="17" customFormat="false" ht="16.9" hidden="false" customHeight="false" outlineLevel="0" collapsed="false">
      <c r="B17" s="16" t="s">
        <v>31</v>
      </c>
      <c r="C17" s="17" t="n">
        <f aca="false">IFERROR(SUMIF('📊 Holdings Master'!D9:D68,B17,'📊 Holdings Master'!J9:J68),0)</f>
        <v>0</v>
      </c>
      <c r="D17" s="18" t="n">
        <f aca="false">IFERROR(C17/SUM(C11:C20),0)</f>
        <v>0</v>
      </c>
      <c r="E17" s="19" t="n">
        <v>0</v>
      </c>
      <c r="F17" s="20" t="n">
        <f aca="false">D17-E17</f>
        <v>0</v>
      </c>
      <c r="G17" s="52" t="str">
        <f aca="false">IF(F17&gt;0.05,"🔴 SELL/STOP BUYING",IF(F17&lt;-0.05,"🔴 BUY",IF(F17&gt;0.02,"⚠ Trim",IF(F17&lt;-0.02,"⚠ Add","✓ Hold"))))</f>
        <v>✓ Hold</v>
      </c>
      <c r="H17" s="53" t="n">
        <f aca="false">IFERROR(E17*SUM(C11:C20)-C17,0)</f>
        <v>0</v>
      </c>
      <c r="I17" s="41" t="str">
        <f aca="false">IF(B17="Bonds","Contribution-rebalance",IF(B17="Cash","Direct deposit",IF(F17&gt;0.05,"Sell taxable + tax cost","Redirect new $")))</f>
        <v>Redirect new $</v>
      </c>
      <c r="J17" s="54" t="n">
        <f aca="false">IF(I17="Sell taxable + tax cost",IFERROR(H17*-0.15,0),0)</f>
        <v>0</v>
      </c>
    </row>
    <row r="18" customFormat="false" ht="16.9" hidden="false" customHeight="false" outlineLevel="0" collapsed="false">
      <c r="B18" s="16" t="s">
        <v>32</v>
      </c>
      <c r="C18" s="17" t="n">
        <f aca="false">IFERROR(SUMIF('📊 Holdings Master'!D9:D68,B18,'📊 Holdings Master'!J9:J68),0)</f>
        <v>0</v>
      </c>
      <c r="D18" s="18" t="n">
        <f aca="false">IFERROR(C18/SUM(C11:C20),0)</f>
        <v>0</v>
      </c>
      <c r="E18" s="19" t="n">
        <v>0</v>
      </c>
      <c r="F18" s="20" t="n">
        <f aca="false">D18-E18</f>
        <v>0</v>
      </c>
      <c r="G18" s="52" t="str">
        <f aca="false">IF(F18&gt;0.05,"🔴 SELL/STOP BUYING",IF(F18&lt;-0.05,"🔴 BUY",IF(F18&gt;0.02,"⚠ Trim",IF(F18&lt;-0.02,"⚠ Add","✓ Hold"))))</f>
        <v>✓ Hold</v>
      </c>
      <c r="H18" s="53" t="n">
        <f aca="false">IFERROR(E18*SUM(C11:C20)-C18,0)</f>
        <v>0</v>
      </c>
      <c r="I18" s="41" t="str">
        <f aca="false">IF(B18="Bonds","Contribution-rebalance",IF(B18="Cash","Direct deposit",IF(F18&gt;0.05,"Sell taxable + tax cost","Redirect new $")))</f>
        <v>Redirect new $</v>
      </c>
      <c r="J18" s="54" t="n">
        <f aca="false">IF(I18="Sell taxable + tax cost",IFERROR(H18*-0.15,0),0)</f>
        <v>0</v>
      </c>
    </row>
    <row r="19" customFormat="false" ht="16.9" hidden="false" customHeight="false" outlineLevel="0" collapsed="false">
      <c r="B19" s="16" t="s">
        <v>33</v>
      </c>
      <c r="C19" s="17" t="n">
        <f aca="false">IFERROR(SUMIF('📊 Holdings Master'!D9:D68,B19,'📊 Holdings Master'!J9:J68),0)</f>
        <v>0</v>
      </c>
      <c r="D19" s="18" t="n">
        <f aca="false">IFERROR(C19/SUM(C11:C20),0)</f>
        <v>0</v>
      </c>
      <c r="E19" s="19" t="n">
        <v>0</v>
      </c>
      <c r="F19" s="20" t="n">
        <f aca="false">D19-E19</f>
        <v>0</v>
      </c>
      <c r="G19" s="52" t="str">
        <f aca="false">IF(F19&gt;0.05,"🔴 SELL/STOP BUYING",IF(F19&lt;-0.05,"🔴 BUY",IF(F19&gt;0.02,"⚠ Trim",IF(F19&lt;-0.02,"⚠ Add","✓ Hold"))))</f>
        <v>✓ Hold</v>
      </c>
      <c r="H19" s="53" t="n">
        <f aca="false">IFERROR(E19*SUM(C11:C20)-C19,0)</f>
        <v>0</v>
      </c>
      <c r="I19" s="41" t="str">
        <f aca="false">IF(B19="Bonds","Contribution-rebalance",IF(B19="Cash","Direct deposit",IF(F19&gt;0.05,"Sell taxable + tax cost","Redirect new $")))</f>
        <v>Redirect new $</v>
      </c>
      <c r="J19" s="54" t="n">
        <f aca="false">IF(I19="Sell taxable + tax cost",IFERROR(H19*-0.15,0),0)</f>
        <v>0</v>
      </c>
    </row>
    <row r="20" customFormat="false" ht="16.9" hidden="false" customHeight="false" outlineLevel="0" collapsed="false">
      <c r="B20" s="16" t="s">
        <v>34</v>
      </c>
      <c r="C20" s="17" t="n">
        <f aca="false">IFERROR(SUMIF('📊 Holdings Master'!D9:D68,B20,'📊 Holdings Master'!J9:J68),0)</f>
        <v>0</v>
      </c>
      <c r="D20" s="18" t="n">
        <f aca="false">IFERROR(C20/SUM(C11:C20),0)</f>
        <v>0</v>
      </c>
      <c r="E20" s="19" t="n">
        <v>0</v>
      </c>
      <c r="F20" s="20" t="n">
        <f aca="false">D20-E20</f>
        <v>0</v>
      </c>
      <c r="G20" s="52" t="str">
        <f aca="false">IF(F20&gt;0.05,"🔴 SELL/STOP BUYING",IF(F20&lt;-0.05,"🔴 BUY",IF(F20&gt;0.02,"⚠ Trim",IF(F20&lt;-0.02,"⚠ Add","✓ Hold"))))</f>
        <v>✓ Hold</v>
      </c>
      <c r="H20" s="53" t="n">
        <f aca="false">IFERROR(E20*SUM(C11:C20)-C20,0)</f>
        <v>0</v>
      </c>
      <c r="I20" s="41" t="str">
        <f aca="false">IF(B20="Bonds","Contribution-rebalance",IF(B20="Cash","Direct deposit",IF(F20&gt;0.05,"Sell taxable + tax cost","Redirect new $")))</f>
        <v>Redirect new $</v>
      </c>
      <c r="J20" s="54" t="n">
        <f aca="false">IF(I20="Sell taxable + tax cost",IFERROR(H20*-0.15,0),0)</f>
        <v>0</v>
      </c>
    </row>
    <row r="23" customFormat="false" ht="31.5" hidden="false" customHeight="true" outlineLevel="0" collapsed="false">
      <c r="B23" s="22" t="s">
        <v>139</v>
      </c>
      <c r="C23" s="22"/>
      <c r="D23" s="22"/>
      <c r="E23" s="22"/>
      <c r="F23" s="22"/>
      <c r="G23" s="22"/>
      <c r="H23" s="22"/>
      <c r="I23" s="22"/>
      <c r="J23" s="22"/>
      <c r="K23" s="22"/>
      <c r="L23" s="22"/>
    </row>
    <row r="24" customFormat="false" ht="31.5" hidden="false" customHeight="true" outlineLevel="0" collapsed="false">
      <c r="B24" s="22"/>
      <c r="C24" s="22"/>
      <c r="D24" s="22"/>
      <c r="E24" s="22"/>
      <c r="F24" s="22"/>
      <c r="G24" s="22"/>
      <c r="H24" s="22"/>
      <c r="I24" s="22"/>
      <c r="J24" s="22"/>
      <c r="K24" s="22"/>
      <c r="L24" s="22"/>
    </row>
    <row r="28" customFormat="false" ht="3" hidden="false" customHeight="true" outlineLevel="0" collapsed="false">
      <c r="A28" s="9"/>
      <c r="B28" s="9"/>
      <c r="C28" s="9"/>
      <c r="D28" s="9"/>
      <c r="E28" s="9"/>
      <c r="F28" s="9"/>
      <c r="G28" s="9"/>
      <c r="H28" s="9"/>
      <c r="I28" s="9"/>
      <c r="J28" s="9"/>
      <c r="K28" s="9"/>
      <c r="L28" s="9"/>
      <c r="M28" s="9"/>
    </row>
    <row r="29" customFormat="false" ht="21.75" hidden="false" customHeight="true" outlineLevel="0" collapsed="false">
      <c r="A29" s="23" t="s">
        <v>49</v>
      </c>
      <c r="B29" s="23"/>
      <c r="C29" s="23"/>
      <c r="D29" s="23"/>
      <c r="E29" s="23"/>
      <c r="F29" s="23"/>
      <c r="G29" s="23"/>
      <c r="H29" s="23"/>
      <c r="I29" s="23"/>
      <c r="J29" s="23"/>
      <c r="K29" s="23"/>
      <c r="L29" s="23"/>
      <c r="M29"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3:L24"/>
    <mergeCell ref="A28:M28"/>
    <mergeCell ref="A29:M29"/>
  </mergeCells>
  <conditionalFormatting sqref="F11:F20">
    <cfRule type="cellIs" priority="2" operator="greaterThan" aboveAverage="0" equalAverage="0" bottom="0" percent="0" rank="0" text="" dxfId="0">
      <formula>0.05</formula>
    </cfRule>
    <cfRule type="cellIs" priority="3" operator="lessThan" aboveAverage="0" equalAverage="0" bottom="0" percent="0" rank="0" text="" dxfId="0">
      <formula>-0.05</formula>
    </cfRule>
    <cfRule type="cellIs" priority="4" operator="between" aboveAverage="0" equalAverage="0" bottom="0" percent="0" rank="0" text="" dxfId="7">
      <formula>0.02</formula>
      <formula>0.05</formula>
    </cfRule>
    <cfRule type="cellIs" priority="5" operator="between" aboveAverage="0" equalAverage="0" bottom="0" percent="0" rank="0" text="" dxfId="7">
      <formula>-0.05</formula>
      <formula>-0.02</formula>
    </cfRule>
  </conditionalFormatting>
  <dataValidations count="1">
    <dataValidation allowBlank="false" error="Enter as decimal (e.g. 0.60 for 60%). Values above 1 will be treated as 6000%+." errorStyle="stop" errorTitle="Invalid Target %" operator="between" showDropDown="false" showErrorMessage="true" showInputMessage="false" sqref="E11:E20" type="decimal">
      <formula1>0</formula1>
      <formula2>1</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12" min="3" style="0" width="13"/>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140</v>
      </c>
      <c r="K1" s="3"/>
      <c r="L1" s="3"/>
      <c r="M1" s="3"/>
    </row>
    <row r="2" customFormat="false" ht="54" hidden="false" customHeight="true" outlineLevel="0" collapsed="false">
      <c r="A2" s="4" t="str">
        <f aca="false">"YTD RETURN"&amp;CHAR(10)&amp;(TEXT(IFERROR((SUM('📊 Holdings Master'!J9:J68)/MAX(1,SUM('📊 Holdings Master'!H9:H68)))-1,0),"+0.0%;-0.0%"))</f>
        <v>YTD RETURN
+0.0%</v>
      </c>
      <c r="B2" s="4"/>
      <c r="C2" s="4" t="str">
        <f aca="false">"YTD DIVIDENDS"&amp;CHAR(10)&amp;(TEXT(SUM('💰 Dividend Income Calendar'!N9:N28),"$#,##0"))</f>
        <v>YTD DIVIDENDS
$3,065</v>
      </c>
      <c r="D2" s="4"/>
      <c r="E2" s="4" t="str">
        <f aca="false">"CONTRIBUTIONS"&amp;CHAR(10)&amp;(TEXT(SUM(D10:D21),"$#,##0"))</f>
        <v>CONTRIBUTIONS
$19,800</v>
      </c>
      <c r="F2" s="4"/>
      <c r="G2" s="4" t="str">
        <f aca="false">"REALIZED $"&amp;CHAR(10)&amp;(TEXT(SUM(F10:F21),"$#,##0"))</f>
        <v>REALIZED $
$0</v>
      </c>
      <c r="H2" s="4"/>
      <c r="I2" s="4" t="str">
        <f aca="false">"BEST POS"&amp;CHAR(10)&amp;(IFERROR(INDEX('📊 Holdings Master'!B9:B68,MATCH(MAX('📊 Holdings Master'!L9:L68),'📊 Holdings Master'!L9:L68,0)),"—"))</f>
        <v>BEST POS
VTI</v>
      </c>
      <c r="J2" s="4"/>
      <c r="K2" s="4" t="str">
        <f aca="false">"WORST POS"&amp;CHAR(10)&amp;(IFERROR(INDEX('📊 Holdings Master'!B9:B68,MATCH(MIN('📊 Holdings Master'!L9:L68),'📊 Holdings Master'!L9:L68,0)),"—"))</f>
        <v>WORST POS
VTI</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141</v>
      </c>
      <c r="B4" s="6"/>
      <c r="C4" s="6"/>
      <c r="D4" s="6"/>
      <c r="E4" s="6"/>
      <c r="F4" s="6"/>
      <c r="G4" s="6"/>
      <c r="H4" s="6"/>
      <c r="I4" s="6"/>
      <c r="J4" s="6"/>
      <c r="K4" s="6"/>
      <c r="L4" s="6"/>
      <c r="M4" s="6"/>
    </row>
    <row r="6" customFormat="false" ht="25.5" hidden="false" customHeight="true" outlineLevel="0" collapsed="false">
      <c r="B6" s="7" t="s">
        <v>142</v>
      </c>
      <c r="C6" s="7"/>
      <c r="D6" s="7"/>
      <c r="E6" s="7"/>
      <c r="F6" s="7"/>
      <c r="G6" s="7"/>
      <c r="H6" s="7"/>
      <c r="I6" s="7"/>
      <c r="J6" s="7"/>
      <c r="K6" s="7"/>
      <c r="L6" s="7"/>
    </row>
    <row r="7" customFormat="false" ht="18" hidden="false" customHeight="true" outlineLevel="0" collapsed="false">
      <c r="B7" s="8" t="s">
        <v>143</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144</v>
      </c>
      <c r="C10" s="10" t="s">
        <v>145</v>
      </c>
      <c r="D10" s="10" t="s">
        <v>146</v>
      </c>
      <c r="E10" s="10" t="s">
        <v>147</v>
      </c>
      <c r="F10" s="10" t="s">
        <v>148</v>
      </c>
      <c r="G10" s="10" t="s">
        <v>149</v>
      </c>
      <c r="H10" s="10" t="s">
        <v>150</v>
      </c>
      <c r="I10" s="10" t="s">
        <v>151</v>
      </c>
      <c r="J10" s="11" t="s">
        <v>152</v>
      </c>
    </row>
    <row r="11" customFormat="false" ht="16.9" hidden="false" customHeight="false" outlineLevel="0" collapsed="false">
      <c r="B11" s="55" t="s">
        <v>37</v>
      </c>
      <c r="C11" s="17" t="n">
        <v>258000</v>
      </c>
      <c r="D11" s="17" t="n">
        <v>1800</v>
      </c>
      <c r="E11" s="56" t="n">
        <v>0</v>
      </c>
      <c r="F11" s="53" t="n">
        <v>0</v>
      </c>
      <c r="G11" s="17" t="n">
        <f aca="false">IFERROR(INDEX('💰 Dividend Income Calendar'!C32,1),0)</f>
        <v>78</v>
      </c>
      <c r="H11" s="56" t="n">
        <v>0</v>
      </c>
      <c r="I11" s="32" t="n">
        <f aca="false">0</f>
        <v>0</v>
      </c>
      <c r="J11" s="20" t="n">
        <f aca="false">0</f>
        <v>0</v>
      </c>
    </row>
    <row r="12" customFormat="false" ht="16.9" hidden="false" customHeight="false" outlineLevel="0" collapsed="false">
      <c r="B12" s="55" t="s">
        <v>38</v>
      </c>
      <c r="C12" s="17" t="n">
        <v>262500</v>
      </c>
      <c r="D12" s="17" t="n">
        <v>1800</v>
      </c>
      <c r="E12" s="56" t="n">
        <v>0</v>
      </c>
      <c r="F12" s="53" t="n">
        <v>0</v>
      </c>
      <c r="G12" s="17" t="n">
        <f aca="false">IFERROR(INDEX('💰 Dividend Income Calendar'!C32,1),0)</f>
        <v>78</v>
      </c>
      <c r="H12" s="56" t="n">
        <v>0</v>
      </c>
      <c r="I12" s="32" t="n">
        <f aca="false">IFERROR((C12/C11)-1,0)</f>
        <v>0.0174418604651163</v>
      </c>
      <c r="J12" s="20" t="n">
        <f aca="false">IFERROR((C12/C11)-1,0)</f>
        <v>0.0174418604651163</v>
      </c>
    </row>
    <row r="13" customFormat="false" ht="16.9" hidden="false" customHeight="false" outlineLevel="0" collapsed="false">
      <c r="B13" s="55" t="s">
        <v>39</v>
      </c>
      <c r="C13" s="17" t="n">
        <v>268000</v>
      </c>
      <c r="D13" s="17" t="n">
        <v>1800</v>
      </c>
      <c r="E13" s="56" t="n">
        <v>0</v>
      </c>
      <c r="F13" s="53" t="n">
        <v>0</v>
      </c>
      <c r="G13" s="17" t="n">
        <f aca="false">IFERROR(INDEX('💰 Dividend Income Calendar'!C32,1),0)</f>
        <v>78</v>
      </c>
      <c r="H13" s="56" t="n">
        <v>0</v>
      </c>
      <c r="I13" s="32" t="n">
        <f aca="false">IFERROR((C13/C12)-1,0)</f>
        <v>0.0209523809523811</v>
      </c>
      <c r="J13" s="20" t="n">
        <f aca="false">IFERROR((C13/C11)-1,0)</f>
        <v>0.0387596899224807</v>
      </c>
    </row>
    <row r="14" customFormat="false" ht="16.9" hidden="false" customHeight="false" outlineLevel="0" collapsed="false">
      <c r="B14" s="55" t="s">
        <v>40</v>
      </c>
      <c r="C14" s="17" t="n">
        <v>264500</v>
      </c>
      <c r="D14" s="17" t="n">
        <v>1800</v>
      </c>
      <c r="E14" s="56" t="n">
        <v>0</v>
      </c>
      <c r="F14" s="53" t="n">
        <v>0</v>
      </c>
      <c r="G14" s="17" t="n">
        <f aca="false">IFERROR(INDEX('💰 Dividend Income Calendar'!C32,1),0)</f>
        <v>78</v>
      </c>
      <c r="H14" s="56" t="n">
        <v>0</v>
      </c>
      <c r="I14" s="32" t="n">
        <f aca="false">IFERROR((C14/C13)-1,0)</f>
        <v>-0.0130597014925373</v>
      </c>
      <c r="J14" s="20" t="n">
        <f aca="false">IFERROR((C14/C11)-1,0)</f>
        <v>0.0251937984496124</v>
      </c>
    </row>
    <row r="15" customFormat="false" ht="16.9" hidden="false" customHeight="false" outlineLevel="0" collapsed="false">
      <c r="B15" s="55" t="s">
        <v>41</v>
      </c>
      <c r="C15" s="17" t="n">
        <v>270500</v>
      </c>
      <c r="D15" s="17" t="n">
        <v>1800</v>
      </c>
      <c r="E15" s="56" t="n">
        <v>0</v>
      </c>
      <c r="F15" s="53" t="n">
        <v>0</v>
      </c>
      <c r="G15" s="17" t="n">
        <f aca="false">IFERROR(INDEX('💰 Dividend Income Calendar'!C32,1),0)</f>
        <v>78</v>
      </c>
      <c r="H15" s="56" t="n">
        <v>0</v>
      </c>
      <c r="I15" s="32" t="n">
        <f aca="false">IFERROR((C15/C14)-1,0)</f>
        <v>0.0226843100189036</v>
      </c>
      <c r="J15" s="20" t="n">
        <f aca="false">IFERROR((C15/C11)-1,0)</f>
        <v>0.0484496124031009</v>
      </c>
    </row>
    <row r="16" customFormat="false" ht="16.9" hidden="false" customHeight="false" outlineLevel="0" collapsed="false">
      <c r="B16" s="55" t="s">
        <v>42</v>
      </c>
      <c r="C16" s="17" t="n">
        <v>276000</v>
      </c>
      <c r="D16" s="17" t="n">
        <v>1800</v>
      </c>
      <c r="E16" s="56" t="n">
        <v>0</v>
      </c>
      <c r="F16" s="53" t="n">
        <v>0</v>
      </c>
      <c r="G16" s="17" t="n">
        <f aca="false">IFERROR(INDEX('💰 Dividend Income Calendar'!C32,1),0)</f>
        <v>78</v>
      </c>
      <c r="H16" s="56" t="n">
        <v>0</v>
      </c>
      <c r="I16" s="32" t="n">
        <f aca="false">IFERROR((C16/C15)-1,0)</f>
        <v>0.0203327171903882</v>
      </c>
      <c r="J16" s="20" t="n">
        <f aca="false">IFERROR((C16/C11)-1,0)</f>
        <v>0.069767441860465</v>
      </c>
    </row>
    <row r="17" customFormat="false" ht="16.9" hidden="false" customHeight="false" outlineLevel="0" collapsed="false">
      <c r="B17" s="55" t="s">
        <v>43</v>
      </c>
      <c r="C17" s="17" t="n">
        <v>282500</v>
      </c>
      <c r="D17" s="17" t="n">
        <v>1800</v>
      </c>
      <c r="E17" s="56" t="n">
        <v>0</v>
      </c>
      <c r="F17" s="53" t="n">
        <v>0</v>
      </c>
      <c r="G17" s="17" t="n">
        <f aca="false">IFERROR(INDEX('💰 Dividend Income Calendar'!C32,1),0)</f>
        <v>78</v>
      </c>
      <c r="H17" s="56" t="n">
        <v>0</v>
      </c>
      <c r="I17" s="32" t="n">
        <f aca="false">IFERROR((C17/C16)-1,0)</f>
        <v>0.0235507246376812</v>
      </c>
      <c r="J17" s="20" t="n">
        <f aca="false">IFERROR((C17/C11)-1,0)</f>
        <v>0.0949612403100775</v>
      </c>
    </row>
    <row r="18" customFormat="false" ht="16.9" hidden="false" customHeight="false" outlineLevel="0" collapsed="false">
      <c r="B18" s="55" t="s">
        <v>44</v>
      </c>
      <c r="C18" s="17" t="n">
        <v>286500</v>
      </c>
      <c r="D18" s="17" t="n">
        <v>1800</v>
      </c>
      <c r="E18" s="56" t="n">
        <v>0</v>
      </c>
      <c r="F18" s="53" t="n">
        <v>0</v>
      </c>
      <c r="G18" s="17" t="n">
        <f aca="false">IFERROR(INDEX('💰 Dividend Income Calendar'!C32,1),0)</f>
        <v>78</v>
      </c>
      <c r="H18" s="56" t="n">
        <v>0</v>
      </c>
      <c r="I18" s="32" t="n">
        <f aca="false">IFERROR((C18/C17)-1,0)</f>
        <v>0.0141592920353983</v>
      </c>
      <c r="J18" s="20" t="n">
        <f aca="false">IFERROR((C18/C11)-1,0)</f>
        <v>0.11046511627907</v>
      </c>
    </row>
    <row r="19" customFormat="false" ht="16.9" hidden="false" customHeight="false" outlineLevel="0" collapsed="false">
      <c r="B19" s="55" t="s">
        <v>45</v>
      </c>
      <c r="C19" s="17" t="n">
        <v>280500</v>
      </c>
      <c r="D19" s="17" t="n">
        <v>1800</v>
      </c>
      <c r="E19" s="56" t="n">
        <v>0</v>
      </c>
      <c r="F19" s="53" t="n">
        <v>0</v>
      </c>
      <c r="G19" s="17" t="n">
        <f aca="false">IFERROR(INDEX('💰 Dividend Income Calendar'!C32,1),0)</f>
        <v>78</v>
      </c>
      <c r="H19" s="56" t="n">
        <v>0</v>
      </c>
      <c r="I19" s="32" t="n">
        <f aca="false">IFERROR((C19/C18)-1,0)</f>
        <v>-0.0209424083769634</v>
      </c>
      <c r="J19" s="20" t="n">
        <f aca="false">IFERROR((C19/C11)-1,0)</f>
        <v>0.0872093023255813</v>
      </c>
    </row>
    <row r="20" customFormat="false" ht="16.9" hidden="false" customHeight="false" outlineLevel="0" collapsed="false">
      <c r="B20" s="55" t="s">
        <v>46</v>
      </c>
      <c r="C20" s="17" t="n">
        <v>285000</v>
      </c>
      <c r="D20" s="17" t="n">
        <v>1800</v>
      </c>
      <c r="E20" s="56" t="n">
        <v>0</v>
      </c>
      <c r="F20" s="53" t="n">
        <v>0</v>
      </c>
      <c r="G20" s="17" t="n">
        <f aca="false">IFERROR(INDEX('💰 Dividend Income Calendar'!C32,1),0)</f>
        <v>78</v>
      </c>
      <c r="H20" s="56" t="n">
        <v>0</v>
      </c>
      <c r="I20" s="32" t="n">
        <f aca="false">IFERROR((C20/C19)-1,0)</f>
        <v>0.0160427807486632</v>
      </c>
      <c r="J20" s="20" t="n">
        <f aca="false">IFERROR((C20/C11)-1,0)</f>
        <v>0.104651162790698</v>
      </c>
    </row>
    <row r="21" customFormat="false" ht="16.9" hidden="false" customHeight="false" outlineLevel="0" collapsed="false">
      <c r="B21" s="55" t="s">
        <v>47</v>
      </c>
      <c r="C21" s="17" t="n">
        <v>289000</v>
      </c>
      <c r="D21" s="17" t="n">
        <v>1800</v>
      </c>
      <c r="E21" s="56" t="n">
        <v>0</v>
      </c>
      <c r="F21" s="53" t="n">
        <v>0</v>
      </c>
      <c r="G21" s="17" t="n">
        <f aca="false">IFERROR(INDEX('💰 Dividend Income Calendar'!C32,1),0)</f>
        <v>78</v>
      </c>
      <c r="H21" s="56" t="n">
        <v>0</v>
      </c>
      <c r="I21" s="32" t="n">
        <f aca="false">IFERROR((C21/C20)-1,0)</f>
        <v>0.0140350877192983</v>
      </c>
      <c r="J21" s="20" t="n">
        <f aca="false">IFERROR((C21/C11)-1,0)</f>
        <v>0.12015503875969</v>
      </c>
    </row>
    <row r="22" customFormat="false" ht="16.9" hidden="false" customHeight="false" outlineLevel="0" collapsed="false">
      <c r="B22" s="55" t="s">
        <v>117</v>
      </c>
      <c r="C22" s="17" t="n">
        <v>290500</v>
      </c>
      <c r="D22" s="17" t="n">
        <v>1800</v>
      </c>
      <c r="E22" s="56" t="n">
        <v>0</v>
      </c>
      <c r="F22" s="53" t="n">
        <v>0</v>
      </c>
      <c r="G22" s="17" t="n">
        <f aca="false">IFERROR(INDEX('💰 Dividend Income Calendar'!C32,1),0)</f>
        <v>78</v>
      </c>
      <c r="H22" s="56" t="n">
        <v>0</v>
      </c>
      <c r="I22" s="32" t="n">
        <f aca="false">IFERROR((C22/C21)-1,0)</f>
        <v>0.00519031141868509</v>
      </c>
      <c r="J22" s="20" t="n">
        <f aca="false">IFERROR((C22/C11)-1,0)</f>
        <v>0.125968992248062</v>
      </c>
    </row>
    <row r="25" customFormat="false" ht="31.5" hidden="false" customHeight="true" outlineLevel="0" collapsed="false">
      <c r="B25" s="22" t="s">
        <v>153</v>
      </c>
      <c r="C25" s="22"/>
      <c r="D25" s="22"/>
      <c r="E25" s="22"/>
      <c r="F25" s="22"/>
      <c r="G25" s="22"/>
      <c r="H25" s="22"/>
      <c r="I25" s="22"/>
      <c r="J25" s="22"/>
      <c r="K25" s="22"/>
      <c r="L25" s="22"/>
    </row>
    <row r="26" customFormat="false" ht="31.5" hidden="false" customHeight="true" outlineLevel="0" collapsed="false">
      <c r="B26" s="22"/>
      <c r="C26" s="22"/>
      <c r="D26" s="22"/>
      <c r="E26" s="22"/>
      <c r="F26" s="22"/>
      <c r="G26" s="22"/>
      <c r="H26" s="22"/>
      <c r="I26" s="22"/>
      <c r="J26" s="22"/>
      <c r="K26" s="22"/>
      <c r="L26" s="22"/>
    </row>
    <row r="30" customFormat="false" ht="3" hidden="false" customHeight="true" outlineLevel="0" collapsed="false">
      <c r="A30" s="9"/>
      <c r="B30" s="9"/>
      <c r="C30" s="9"/>
      <c r="D30" s="9"/>
      <c r="E30" s="9"/>
      <c r="F30" s="9"/>
      <c r="G30" s="9"/>
      <c r="H30" s="9"/>
      <c r="I30" s="9"/>
      <c r="J30" s="9"/>
      <c r="K30" s="9"/>
      <c r="L30" s="9"/>
      <c r="M30" s="9"/>
    </row>
    <row r="31" customFormat="false" ht="21.75" hidden="false" customHeight="true" outlineLevel="0" collapsed="false">
      <c r="A31" s="23" t="s">
        <v>49</v>
      </c>
      <c r="B31" s="23"/>
      <c r="C31" s="23"/>
      <c r="D31" s="23"/>
      <c r="E31" s="23"/>
      <c r="F31" s="23"/>
      <c r="G31" s="23"/>
      <c r="H31" s="23"/>
      <c r="I31" s="23"/>
      <c r="J31" s="23"/>
      <c r="K31" s="23"/>
      <c r="L31" s="23"/>
      <c r="M31"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5:L26"/>
    <mergeCell ref="A30:M30"/>
    <mergeCell ref="A31:M31"/>
  </mergeCells>
  <conditionalFormatting sqref="I11:J22">
    <cfRule type="cellIs" priority="2" operator="greaterThan" aboveAverage="0" equalAverage="0" bottom="0" percent="0" rank="0" text="" dxfId="3">
      <formula>0</formula>
    </cfRule>
    <cfRule type="cellIs" priority="3" operator="lessThan" aboveAverage="0" equalAverage="0" bottom="0" percent="0" rank="0" text="" dxfId="4">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10"/>
    <col collapsed="false" customWidth="true" hidden="false" outlineLevel="0" max="4" min="4" style="0" width="14"/>
    <col collapsed="false" customWidth="true" hidden="false" outlineLevel="0" max="10" min="5" style="0" width="11"/>
    <col collapsed="false" customWidth="true" hidden="false" outlineLevel="0" max="11" min="11" style="0" width="14"/>
    <col collapsed="false" customWidth="true" hidden="false" outlineLevel="0" max="12" min="12"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154</v>
      </c>
      <c r="K1" s="3"/>
      <c r="L1" s="3"/>
      <c r="M1" s="3"/>
    </row>
    <row r="2" customFormat="false" ht="54" hidden="false" customHeight="true" outlineLevel="0" collapsed="false">
      <c r="A2" s="4" t="str">
        <f aca="false">"BONDS"&amp;CHAR(10)&amp;(COUNTA(B9:B22))</f>
        <v>BONDS
4</v>
      </c>
      <c r="B2" s="4"/>
      <c r="C2" s="4" t="str">
        <f aca="false">"PRINCIPAL"&amp;CHAR(10)&amp;(TEXT(SUM(E9:E22),"$#,##0"))</f>
        <v>PRINCIPAL
$36,404</v>
      </c>
      <c r="D2" s="4"/>
      <c r="E2" s="4" t="str">
        <f aca="false">"AVG YTM"&amp;CHAR(10)&amp;(TEXT(IFERROR(AVERAGE(I9:I22),0),"0.00%"))</f>
        <v>AVG YTM
9170.00%</v>
      </c>
      <c r="F2" s="4"/>
      <c r="G2" s="4" t="str">
        <f aca="false">"NEAREST MAT"&amp;CHAR(10)&amp;(IFERROR(TEXT(MIN(G9:G22),"mmm d, yyyy"),"—"))</f>
        <v>NEAREST MAT
Jan 15, 2025</v>
      </c>
      <c r="H2" s="4"/>
      <c r="I2" s="4" t="str">
        <f aca="false">"COUPONS/YR"&amp;CHAR(10)&amp;(TEXT(SUMPRODUCT(E9:E22,H9:H22),"$#,##0"))</f>
        <v>COUPONS/YR
$25,095,880</v>
      </c>
      <c r="J2" s="4"/>
      <c r="K2" s="4" t="str">
        <f aca="true">"MAT NEXT 12mo"&amp;CHAR(10)&amp;(COUNTIFS(G9:G22,"&lt;="&amp;EDATE(TODAY(),12),G9:G22,"&gt;="&amp;TODAY()))</f>
        <v>MAT NEXT 12mo
0</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155</v>
      </c>
      <c r="B4" s="6"/>
      <c r="C4" s="6"/>
      <c r="D4" s="6"/>
      <c r="E4" s="6"/>
      <c r="F4" s="6"/>
      <c r="G4" s="6"/>
      <c r="H4" s="6"/>
      <c r="I4" s="6"/>
      <c r="J4" s="6"/>
      <c r="K4" s="6"/>
      <c r="L4" s="6"/>
      <c r="M4" s="6"/>
    </row>
    <row r="6" customFormat="false" ht="25.5" hidden="false" customHeight="true" outlineLevel="0" collapsed="false">
      <c r="B6" s="7" t="s">
        <v>156</v>
      </c>
      <c r="C6" s="7"/>
      <c r="D6" s="7"/>
      <c r="E6" s="7"/>
      <c r="F6" s="7"/>
      <c r="G6" s="7"/>
      <c r="H6" s="7"/>
      <c r="I6" s="7"/>
      <c r="J6" s="7"/>
      <c r="K6" s="7"/>
      <c r="L6" s="7"/>
    </row>
    <row r="7" customFormat="false" ht="18" hidden="false" customHeight="true" outlineLevel="0" collapsed="false">
      <c r="B7" s="8" t="s">
        <v>157</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158</v>
      </c>
      <c r="C10" s="10" t="s">
        <v>100</v>
      </c>
      <c r="D10" s="10" t="s">
        <v>159</v>
      </c>
      <c r="E10" s="10" t="s">
        <v>160</v>
      </c>
      <c r="F10" s="10" t="s">
        <v>161</v>
      </c>
      <c r="G10" s="10" t="s">
        <v>162</v>
      </c>
      <c r="H10" s="10" t="s">
        <v>163</v>
      </c>
      <c r="I10" s="10" t="s">
        <v>164</v>
      </c>
      <c r="J10" s="10" t="s">
        <v>165</v>
      </c>
      <c r="K10" s="10" t="s">
        <v>69</v>
      </c>
      <c r="L10" s="11" t="s">
        <v>74</v>
      </c>
    </row>
    <row r="11" customFormat="false" ht="16.9" hidden="false" customHeight="false" outlineLevel="0" collapsed="false">
      <c r="B11" s="12" t="s">
        <v>59</v>
      </c>
      <c r="C11" s="42" t="s">
        <v>109</v>
      </c>
      <c r="D11" s="25" t="s">
        <v>166</v>
      </c>
      <c r="E11" s="17" t="n">
        <v>21404</v>
      </c>
      <c r="F11" s="57" t="n">
        <v>0.041</v>
      </c>
      <c r="G11" s="58" t="n">
        <v>47484</v>
      </c>
      <c r="H11" s="17" t="n">
        <f aca="false">IFERROR(E11*F11,"")</f>
        <v>877.564</v>
      </c>
      <c r="I11" s="27" t="n">
        <v>75.1</v>
      </c>
      <c r="J11" s="59" t="n">
        <v>0.045</v>
      </c>
      <c r="K11" s="41" t="s">
        <v>167</v>
      </c>
      <c r="L11" s="60"/>
    </row>
    <row r="12" customFormat="false" ht="16.9" hidden="false" customHeight="false" outlineLevel="0" collapsed="false">
      <c r="B12" s="12" t="s">
        <v>168</v>
      </c>
      <c r="C12" s="42" t="s">
        <v>169</v>
      </c>
      <c r="D12" s="25" t="s">
        <v>170</v>
      </c>
      <c r="E12" s="17" t="n">
        <v>10000</v>
      </c>
      <c r="F12" s="57" t="n">
        <v>0.05</v>
      </c>
      <c r="G12" s="58" t="n">
        <v>45672</v>
      </c>
      <c r="H12" s="17" t="n">
        <f aca="false">IFERROR(E12*F12,"")</f>
        <v>500</v>
      </c>
      <c r="I12" s="27" t="n">
        <v>100</v>
      </c>
      <c r="J12" s="59" t="n">
        <v>0.05</v>
      </c>
      <c r="K12" s="41" t="s">
        <v>56</v>
      </c>
      <c r="L12" s="60"/>
    </row>
    <row r="13" customFormat="false" ht="16.9" hidden="false" customHeight="false" outlineLevel="0" collapsed="false">
      <c r="B13" s="12" t="s">
        <v>171</v>
      </c>
      <c r="C13" s="42" t="s">
        <v>172</v>
      </c>
      <c r="D13" s="25" t="s">
        <v>173</v>
      </c>
      <c r="E13" s="17" t="n">
        <v>5000</v>
      </c>
      <c r="F13" s="57" t="n">
        <v>0.0525</v>
      </c>
      <c r="G13" s="58" t="n">
        <v>45717</v>
      </c>
      <c r="H13" s="17" t="n">
        <f aca="false">IFERROR(E13*F13,"")</f>
        <v>262.5</v>
      </c>
      <c r="I13" s="27" t="n">
        <v>100</v>
      </c>
      <c r="J13" s="59" t="n">
        <v>0.0525</v>
      </c>
      <c r="K13" s="41" t="s">
        <v>56</v>
      </c>
      <c r="L13" s="60"/>
    </row>
    <row r="14" customFormat="false" ht="15" hidden="false" customHeight="false" outlineLevel="0" collapsed="false">
      <c r="B14" s="12"/>
      <c r="C14" s="42"/>
      <c r="D14" s="25"/>
      <c r="E14" s="17"/>
      <c r="F14" s="57"/>
      <c r="G14" s="58"/>
      <c r="H14" s="17" t="n">
        <f aca="false">IFERROR(E14*F14,"")</f>
        <v>0</v>
      </c>
      <c r="I14" s="27"/>
      <c r="J14" s="59"/>
      <c r="K14" s="41"/>
      <c r="L14" s="60"/>
    </row>
    <row r="15" customFormat="false" ht="15" hidden="false" customHeight="false" outlineLevel="0" collapsed="false">
      <c r="B15" s="12"/>
      <c r="C15" s="42"/>
      <c r="D15" s="25"/>
      <c r="E15" s="17"/>
      <c r="F15" s="57"/>
      <c r="G15" s="58"/>
      <c r="H15" s="17" t="n">
        <f aca="false">IFERROR(E15*F15,"")</f>
        <v>0</v>
      </c>
      <c r="I15" s="27"/>
      <c r="J15" s="59"/>
      <c r="K15" s="41"/>
      <c r="L15" s="60"/>
    </row>
    <row r="16" customFormat="false" ht="15" hidden="false" customHeight="false" outlineLevel="0" collapsed="false">
      <c r="B16" s="12"/>
      <c r="C16" s="42"/>
      <c r="D16" s="25"/>
      <c r="E16" s="17"/>
      <c r="F16" s="57"/>
      <c r="G16" s="58"/>
      <c r="H16" s="17" t="n">
        <f aca="false">IFERROR(E16*F16,"")</f>
        <v>0</v>
      </c>
      <c r="I16" s="27"/>
      <c r="J16" s="59"/>
      <c r="K16" s="41"/>
      <c r="L16" s="60"/>
    </row>
    <row r="17" customFormat="false" ht="15" hidden="false" customHeight="false" outlineLevel="0" collapsed="false">
      <c r="B17" s="12"/>
      <c r="C17" s="42"/>
      <c r="D17" s="25"/>
      <c r="E17" s="17"/>
      <c r="F17" s="57"/>
      <c r="G17" s="58"/>
      <c r="H17" s="17" t="n">
        <f aca="false">IFERROR(E17*F17,"")</f>
        <v>0</v>
      </c>
      <c r="I17" s="27"/>
      <c r="J17" s="59"/>
      <c r="K17" s="41"/>
      <c r="L17" s="60"/>
    </row>
    <row r="18" customFormat="false" ht="15" hidden="false" customHeight="false" outlineLevel="0" collapsed="false">
      <c r="B18" s="12"/>
      <c r="C18" s="42"/>
      <c r="D18" s="25"/>
      <c r="E18" s="17"/>
      <c r="F18" s="57"/>
      <c r="G18" s="58"/>
      <c r="H18" s="17" t="n">
        <f aca="false">IFERROR(E18*F18,"")</f>
        <v>0</v>
      </c>
      <c r="I18" s="27"/>
      <c r="J18" s="59"/>
      <c r="K18" s="41"/>
      <c r="L18" s="60"/>
    </row>
    <row r="19" customFormat="false" ht="15" hidden="false" customHeight="false" outlineLevel="0" collapsed="false">
      <c r="B19" s="12"/>
      <c r="C19" s="42"/>
      <c r="D19" s="25"/>
      <c r="E19" s="17"/>
      <c r="F19" s="57"/>
      <c r="G19" s="58"/>
      <c r="H19" s="17" t="n">
        <f aca="false">IFERROR(E19*F19,"")</f>
        <v>0</v>
      </c>
      <c r="I19" s="27"/>
      <c r="J19" s="59"/>
      <c r="K19" s="41"/>
      <c r="L19" s="60"/>
    </row>
    <row r="20" customFormat="false" ht="15" hidden="false" customHeight="false" outlineLevel="0" collapsed="false">
      <c r="B20" s="12"/>
      <c r="C20" s="42"/>
      <c r="D20" s="25"/>
      <c r="E20" s="17"/>
      <c r="F20" s="57"/>
      <c r="G20" s="58"/>
      <c r="H20" s="17" t="n">
        <f aca="false">IFERROR(E20*F20,"")</f>
        <v>0</v>
      </c>
      <c r="I20" s="27"/>
      <c r="J20" s="59"/>
      <c r="K20" s="41"/>
      <c r="L20" s="60"/>
    </row>
    <row r="21" customFormat="false" ht="15" hidden="false" customHeight="false" outlineLevel="0" collapsed="false">
      <c r="B21" s="12"/>
      <c r="C21" s="42"/>
      <c r="D21" s="25"/>
      <c r="E21" s="17"/>
      <c r="F21" s="57"/>
      <c r="G21" s="58"/>
      <c r="H21" s="17" t="n">
        <f aca="false">IFERROR(E21*F21,"")</f>
        <v>0</v>
      </c>
      <c r="I21" s="27"/>
      <c r="J21" s="59"/>
      <c r="K21" s="41"/>
      <c r="L21" s="60"/>
    </row>
    <row r="22" customFormat="false" ht="15" hidden="false" customHeight="false" outlineLevel="0" collapsed="false">
      <c r="B22" s="12"/>
      <c r="C22" s="42"/>
      <c r="D22" s="25"/>
      <c r="E22" s="17"/>
      <c r="F22" s="57"/>
      <c r="G22" s="58"/>
      <c r="H22" s="17" t="n">
        <f aca="false">IFERROR(E22*F22,"")</f>
        <v>0</v>
      </c>
      <c r="I22" s="27"/>
      <c r="J22" s="59"/>
      <c r="K22" s="41"/>
      <c r="L22" s="60"/>
    </row>
    <row r="23" customFormat="false" ht="15" hidden="false" customHeight="false" outlineLevel="0" collapsed="false">
      <c r="B23" s="12"/>
      <c r="C23" s="42"/>
      <c r="D23" s="25"/>
      <c r="E23" s="17"/>
      <c r="F23" s="57"/>
      <c r="G23" s="58"/>
      <c r="H23" s="17" t="n">
        <f aca="false">IFERROR(E23*F23,"")</f>
        <v>0</v>
      </c>
      <c r="I23" s="27"/>
      <c r="J23" s="59"/>
      <c r="K23" s="41"/>
      <c r="L23" s="60"/>
    </row>
    <row r="24" customFormat="false" ht="15" hidden="false" customHeight="false" outlineLevel="0" collapsed="false">
      <c r="B24" s="12"/>
      <c r="C24" s="42"/>
      <c r="D24" s="25"/>
      <c r="E24" s="17"/>
      <c r="F24" s="57"/>
      <c r="G24" s="58"/>
      <c r="H24" s="17" t="n">
        <f aca="false">IFERROR(E24*F24,"")</f>
        <v>0</v>
      </c>
      <c r="I24" s="27"/>
      <c r="J24" s="59"/>
      <c r="K24" s="41"/>
      <c r="L24" s="60"/>
    </row>
    <row r="27" customFormat="false" ht="30" hidden="false" customHeight="true" outlineLevel="0" collapsed="false">
      <c r="B27" s="22" t="s">
        <v>174</v>
      </c>
      <c r="C27" s="22"/>
      <c r="D27" s="22"/>
      <c r="E27" s="22"/>
      <c r="F27" s="22"/>
      <c r="G27" s="22"/>
      <c r="H27" s="22"/>
      <c r="I27" s="22"/>
      <c r="J27" s="22"/>
      <c r="K27" s="22"/>
      <c r="L27" s="22"/>
    </row>
    <row r="28" customFormat="false" ht="30" hidden="false" customHeight="true" outlineLevel="0" collapsed="false">
      <c r="B28" s="22"/>
      <c r="C28" s="22"/>
      <c r="D28" s="22"/>
      <c r="E28" s="22"/>
      <c r="F28" s="22"/>
      <c r="G28" s="22"/>
      <c r="H28" s="22"/>
      <c r="I28" s="22"/>
      <c r="J28" s="22"/>
      <c r="K28" s="22"/>
      <c r="L28" s="22"/>
    </row>
    <row r="32" customFormat="false" ht="3" hidden="false" customHeight="true" outlineLevel="0" collapsed="false">
      <c r="A32" s="9"/>
      <c r="B32" s="9"/>
      <c r="C32" s="9"/>
      <c r="D32" s="9"/>
      <c r="E32" s="9"/>
      <c r="F32" s="9"/>
      <c r="G32" s="9"/>
      <c r="H32" s="9"/>
      <c r="I32" s="9"/>
      <c r="J32" s="9"/>
      <c r="K32" s="9"/>
      <c r="L32" s="9"/>
      <c r="M32" s="9"/>
    </row>
    <row r="33" customFormat="false" ht="21.75" hidden="false" customHeight="true" outlineLevel="0" collapsed="false">
      <c r="A33" s="23" t="s">
        <v>49</v>
      </c>
      <c r="B33" s="23"/>
      <c r="C33" s="23"/>
      <c r="D33" s="23"/>
      <c r="E33" s="23"/>
      <c r="F33" s="23"/>
      <c r="G33" s="23"/>
      <c r="H33" s="23"/>
      <c r="I33" s="23"/>
      <c r="J33" s="23"/>
      <c r="K33" s="23"/>
      <c r="L33" s="23"/>
      <c r="M33"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7:L28"/>
    <mergeCell ref="A32:M32"/>
    <mergeCell ref="A33:M33"/>
  </mergeCells>
  <conditionalFormatting sqref="G11:G24">
    <cfRule type="expression" priority="2" aboveAverage="0" equalAverage="0" bottom="0" percent="0" rank="0" text="" dxfId="0">
      <formula>AND(G11&lt;&gt;"",G11&lt;=TODAY()+30,G11&gt;=TODAY())</formula>
    </cfRule>
  </conditionalFormatting>
  <dataValidations count="1">
    <dataValidation allowBlank="true" errorStyle="stop" operator="between" showDropDown="false" showErrorMessage="false" showInputMessage="false" sqref="C11:C24" type="list">
      <formula1>"Treasury,Corp,Muni,CD,ETF,Mutual"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12"/>
    <col collapsed="false" customWidth="true" hidden="false" outlineLevel="0" max="7" min="4" style="0" width="11"/>
    <col collapsed="false" customWidth="true" hidden="false" outlineLevel="0" max="9" min="8" style="0" width="13"/>
    <col collapsed="false" customWidth="true" hidden="false" outlineLevel="0" max="10" min="10" style="0" width="11"/>
    <col collapsed="false" customWidth="true" hidden="false" outlineLevel="0" max="11" min="11" style="0" width="14"/>
    <col collapsed="false" customWidth="true" hidden="false" outlineLevel="0" max="12" min="12"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175</v>
      </c>
      <c r="K1" s="3"/>
      <c r="L1" s="3"/>
      <c r="M1" s="3"/>
    </row>
    <row r="2" customFormat="false" ht="54" hidden="false" customHeight="true" outlineLevel="0" collapsed="false">
      <c r="A2" s="4" t="str">
        <f aca="false">"METALS $"&amp;CHAR(10)&amp;(TEXT(SUM(H9:H14),"$#,##0"))</f>
        <v>METALS $
$6,432</v>
      </c>
      <c r="B2" s="4"/>
      <c r="C2" s="4" t="str">
        <f aca="false">"GOLD oz"&amp;CHAR(10)&amp;(IFERROR(D9,"—"))</f>
        <v>GOLD oz
</v>
      </c>
      <c r="D2" s="4"/>
      <c r="E2" s="4" t="str">
        <f aca="false">"SILVER oz"&amp;CHAR(10)&amp;(IFERROR(D10,"—"))</f>
        <v>SILVER oz
Ounces</v>
      </c>
      <c r="F2" s="4"/>
      <c r="G2" s="4" t="str">
        <f aca="false">"COST BASIS"&amp;CHAR(10)&amp;(TEXT(SUM(F9:F14),"$#,##0"))</f>
        <v>COST BASIS
$4,831</v>
      </c>
      <c r="H2" s="4"/>
      <c r="I2" s="4" t="str">
        <f aca="false">"UNREALIZED"&amp;CHAR(10)&amp;(TEXT(SUM(I9:I14),"+$#,##0;-$#,##0"))</f>
        <v>UNREALIZED
+$1,601</v>
      </c>
      <c r="J2" s="4"/>
      <c r="K2" s="4" t="str">
        <f aca="false">"INSURED"&amp;CHAR(10)&amp;(COUNTIF(L9:L14,"✓"))</f>
        <v>INSURED
1</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176</v>
      </c>
      <c r="B4" s="6"/>
      <c r="C4" s="6"/>
      <c r="D4" s="6"/>
      <c r="E4" s="6"/>
      <c r="F4" s="6"/>
      <c r="G4" s="6"/>
      <c r="H4" s="6"/>
      <c r="I4" s="6"/>
      <c r="J4" s="6"/>
      <c r="K4" s="6"/>
      <c r="L4" s="6"/>
      <c r="M4" s="6"/>
    </row>
    <row r="6" customFormat="false" ht="25.5" hidden="false" customHeight="true" outlineLevel="0" collapsed="false">
      <c r="B6" s="7" t="s">
        <v>177</v>
      </c>
      <c r="C6" s="7"/>
      <c r="D6" s="7"/>
      <c r="E6" s="7"/>
      <c r="F6" s="7"/>
      <c r="G6" s="7"/>
      <c r="H6" s="7"/>
      <c r="I6" s="7"/>
      <c r="J6" s="7"/>
      <c r="K6" s="7"/>
      <c r="L6" s="7"/>
    </row>
    <row r="7" customFormat="false" ht="18" hidden="false" customHeight="true" outlineLevel="0" collapsed="false">
      <c r="B7" s="8" t="s">
        <v>178</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179</v>
      </c>
      <c r="C10" s="10" t="s">
        <v>180</v>
      </c>
      <c r="D10" s="10" t="s">
        <v>181</v>
      </c>
      <c r="E10" s="10" t="s">
        <v>182</v>
      </c>
      <c r="F10" s="10" t="s">
        <v>183</v>
      </c>
      <c r="G10" s="10" t="s">
        <v>184</v>
      </c>
      <c r="H10" s="10" t="s">
        <v>20</v>
      </c>
      <c r="I10" s="10" t="s">
        <v>185</v>
      </c>
      <c r="J10" s="10" t="s">
        <v>186</v>
      </c>
      <c r="K10" s="10" t="s">
        <v>187</v>
      </c>
      <c r="L10" s="11" t="s">
        <v>188</v>
      </c>
    </row>
    <row r="11" customFormat="false" ht="15" hidden="false" customHeight="false" outlineLevel="0" collapsed="false">
      <c r="B11" s="61" t="s">
        <v>189</v>
      </c>
      <c r="C11" s="42" t="s">
        <v>190</v>
      </c>
      <c r="D11" s="62" t="n">
        <v>2.5</v>
      </c>
      <c r="E11" s="27" t="n">
        <v>1820</v>
      </c>
      <c r="F11" s="17" t="n">
        <f aca="false">IFERROR(D11*E11,"")</f>
        <v>4550</v>
      </c>
      <c r="G11" s="29" t="n">
        <v>2420</v>
      </c>
      <c r="H11" s="30" t="n">
        <f aca="false">IFERROR(D11*G11,"")</f>
        <v>6050</v>
      </c>
      <c r="I11" s="31" t="n">
        <f aca="false">IFERROR(H11-F11,"")</f>
        <v>1500</v>
      </c>
      <c r="J11" s="32" t="n">
        <f aca="false">IFERROR(I11/F11,"")</f>
        <v>0.32967032967033</v>
      </c>
      <c r="K11" s="41" t="s">
        <v>191</v>
      </c>
      <c r="L11" s="63" t="s">
        <v>192</v>
      </c>
    </row>
    <row r="12" customFormat="false" ht="15" hidden="false" customHeight="false" outlineLevel="0" collapsed="false">
      <c r="B12" s="61" t="s">
        <v>193</v>
      </c>
      <c r="C12" s="42" t="s">
        <v>194</v>
      </c>
      <c r="D12" s="62" t="n">
        <v>12</v>
      </c>
      <c r="E12" s="27" t="n">
        <v>23.4</v>
      </c>
      <c r="F12" s="17" t="n">
        <f aca="false">IFERROR(D12*E12,"")</f>
        <v>280.8</v>
      </c>
      <c r="G12" s="29" t="n">
        <v>31.8</v>
      </c>
      <c r="H12" s="30" t="n">
        <f aca="false">IFERROR(D12*G12,"")</f>
        <v>381.6</v>
      </c>
      <c r="I12" s="31" t="n">
        <f aca="false">IFERROR(H12-F12,"")</f>
        <v>100.8</v>
      </c>
      <c r="J12" s="32" t="n">
        <f aca="false">IFERROR(I12/F12,"")</f>
        <v>0.358974358974359</v>
      </c>
      <c r="K12" s="41" t="s">
        <v>195</v>
      </c>
      <c r="L12" s="63"/>
    </row>
    <row r="13" customFormat="false" ht="15" hidden="false" customHeight="false" outlineLevel="0" collapsed="false">
      <c r="B13" s="61" t="s">
        <v>196</v>
      </c>
      <c r="C13" s="42" t="s">
        <v>197</v>
      </c>
      <c r="D13" s="62" t="n">
        <v>0</v>
      </c>
      <c r="E13" s="27" t="n">
        <v>0</v>
      </c>
      <c r="F13" s="17" t="n">
        <f aca="false">IFERROR(D13*E13,"")</f>
        <v>0</v>
      </c>
      <c r="G13" s="29" t="n">
        <v>0</v>
      </c>
      <c r="H13" s="30" t="n">
        <f aca="false">IFERROR(D13*G13,"")</f>
        <v>0</v>
      </c>
      <c r="I13" s="31" t="n">
        <f aca="false">IFERROR(H13-F13,"")</f>
        <v>0</v>
      </c>
      <c r="J13" s="32" t="str">
        <f aca="false">IFERROR(I13/F13,"")</f>
        <v/>
      </c>
      <c r="K13" s="41"/>
      <c r="L13" s="63"/>
    </row>
    <row r="14" customFormat="false" ht="15" hidden="false" customHeight="false" outlineLevel="0" collapsed="false">
      <c r="B14" s="61" t="s">
        <v>198</v>
      </c>
      <c r="C14" s="42" t="s">
        <v>197</v>
      </c>
      <c r="D14" s="62" t="n">
        <v>0</v>
      </c>
      <c r="E14" s="27" t="n">
        <v>0</v>
      </c>
      <c r="F14" s="17" t="n">
        <f aca="false">IFERROR(D14*E14,"")</f>
        <v>0</v>
      </c>
      <c r="G14" s="29" t="n">
        <v>0</v>
      </c>
      <c r="H14" s="30" t="n">
        <f aca="false">IFERROR(D14*G14,"")</f>
        <v>0</v>
      </c>
      <c r="I14" s="31" t="n">
        <f aca="false">IFERROR(H14-F14,"")</f>
        <v>0</v>
      </c>
      <c r="J14" s="32" t="str">
        <f aca="false">IFERROR(I14/F14,"")</f>
        <v/>
      </c>
      <c r="K14" s="41"/>
      <c r="L14" s="63"/>
    </row>
    <row r="15" customFormat="false" ht="15" hidden="false" customHeight="false" outlineLevel="0" collapsed="false">
      <c r="B15" s="61"/>
      <c r="C15" s="42"/>
      <c r="D15" s="62"/>
      <c r="E15" s="27"/>
      <c r="F15" s="17" t="n">
        <f aca="false">IFERROR(D15*E15,"")</f>
        <v>0</v>
      </c>
      <c r="G15" s="29"/>
      <c r="H15" s="30" t="n">
        <f aca="false">IFERROR(D15*G15,"")</f>
        <v>0</v>
      </c>
      <c r="I15" s="31" t="n">
        <f aca="false">IFERROR(H15-F15,"")</f>
        <v>0</v>
      </c>
      <c r="J15" s="32" t="str">
        <f aca="false">IFERROR(I15/F15,"")</f>
        <v/>
      </c>
      <c r="K15" s="41"/>
      <c r="L15" s="63"/>
    </row>
    <row r="16" customFormat="false" ht="15" hidden="false" customHeight="false" outlineLevel="0" collapsed="false">
      <c r="B16" s="61"/>
      <c r="C16" s="42"/>
      <c r="D16" s="62"/>
      <c r="E16" s="27"/>
      <c r="F16" s="17" t="n">
        <f aca="false">IFERROR(D16*E16,"")</f>
        <v>0</v>
      </c>
      <c r="G16" s="29"/>
      <c r="H16" s="30" t="n">
        <f aca="false">IFERROR(D16*G16,"")</f>
        <v>0</v>
      </c>
      <c r="I16" s="31" t="n">
        <f aca="false">IFERROR(H16-F16,"")</f>
        <v>0</v>
      </c>
      <c r="J16" s="32" t="str">
        <f aca="false">IFERROR(I16/F16,"")</f>
        <v/>
      </c>
      <c r="K16" s="41"/>
      <c r="L16" s="63"/>
    </row>
    <row r="18" customFormat="false" ht="31.5" hidden="false" customHeight="true" outlineLevel="0" collapsed="false">
      <c r="B18" s="22" t="s">
        <v>199</v>
      </c>
      <c r="C18" s="22"/>
      <c r="D18" s="22"/>
      <c r="E18" s="22"/>
      <c r="F18" s="22"/>
      <c r="G18" s="22"/>
      <c r="H18" s="22"/>
      <c r="I18" s="22"/>
      <c r="J18" s="22"/>
      <c r="K18" s="22"/>
      <c r="L18" s="22"/>
    </row>
    <row r="19" customFormat="false" ht="31.5" hidden="false" customHeight="true" outlineLevel="0" collapsed="false">
      <c r="B19" s="22"/>
      <c r="C19" s="22"/>
      <c r="D19" s="22"/>
      <c r="E19" s="22"/>
      <c r="F19" s="22"/>
      <c r="G19" s="22"/>
      <c r="H19" s="22"/>
      <c r="I19" s="22"/>
      <c r="J19" s="22"/>
      <c r="K19" s="22"/>
      <c r="L19" s="22"/>
    </row>
    <row r="23" customFormat="false" ht="3" hidden="false" customHeight="true" outlineLevel="0" collapsed="false">
      <c r="A23" s="9"/>
      <c r="B23" s="9"/>
      <c r="C23" s="9"/>
      <c r="D23" s="9"/>
      <c r="E23" s="9"/>
      <c r="F23" s="9"/>
      <c r="G23" s="9"/>
      <c r="H23" s="9"/>
      <c r="I23" s="9"/>
      <c r="J23" s="9"/>
      <c r="K23" s="9"/>
      <c r="L23" s="9"/>
      <c r="M23" s="9"/>
    </row>
    <row r="24" customFormat="false" ht="21.75" hidden="false" customHeight="true" outlineLevel="0" collapsed="false">
      <c r="A24" s="23" t="s">
        <v>49</v>
      </c>
      <c r="B24" s="23"/>
      <c r="C24" s="23"/>
      <c r="D24" s="23"/>
      <c r="E24" s="23"/>
      <c r="F24" s="23"/>
      <c r="G24" s="23"/>
      <c r="H24" s="23"/>
      <c r="I24" s="23"/>
      <c r="J24" s="23"/>
      <c r="K24" s="23"/>
      <c r="L24" s="23"/>
      <c r="M24"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18:L19"/>
    <mergeCell ref="A23:M23"/>
    <mergeCell ref="A24:M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14"/>
    <col collapsed="false" customWidth="true" hidden="false" outlineLevel="0" max="7" min="4" style="0" width="11"/>
    <col collapsed="false" customWidth="true" hidden="false" outlineLevel="0" max="9" min="8" style="0" width="13"/>
    <col collapsed="false" customWidth="true" hidden="false" outlineLevel="0" max="10" min="10" style="0" width="14"/>
    <col collapsed="false" customWidth="true" hidden="false" outlineLevel="0" max="11" min="11" style="0" width="12"/>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200</v>
      </c>
      <c r="K1" s="3"/>
      <c r="L1" s="3"/>
      <c r="M1" s="3"/>
    </row>
    <row r="2" customFormat="false" ht="54" hidden="false" customHeight="true" outlineLevel="0" collapsed="false">
      <c r="A2" s="4" t="str">
        <f aca="false">"COINS"&amp;CHAR(10)&amp;(COUNTA(B9:B22))</f>
        <v>COINS
4</v>
      </c>
      <c r="B2" s="4"/>
      <c r="C2" s="4" t="str">
        <f aca="false">"TOTAL $"&amp;CHAR(10)&amp;(TEXT(SUM(H9:H22),"$#,##0"))</f>
        <v>TOTAL $
$34,020</v>
      </c>
      <c r="D2" s="4"/>
      <c r="E2" s="4" t="str">
        <f aca="false">"BTC"&amp;CHAR(10)&amp;(IFERROR(D9,"—"))</f>
        <v>BTC
</v>
      </c>
      <c r="F2" s="4"/>
      <c r="G2" s="4" t="str">
        <f aca="false">"ETH"&amp;CHAR(10)&amp;(IFERROR(D10,"—"))</f>
        <v>ETH
Quantity</v>
      </c>
      <c r="H2" s="4"/>
      <c r="I2" s="4" t="str">
        <f aca="false">"COLD WALLET"&amp;CHAR(10)&amp;(COUNTIF(L9:L22,"✓"))</f>
        <v>COLD WALLET
1</v>
      </c>
      <c r="J2" s="4"/>
      <c r="K2" s="4" t="str">
        <f aca="false">"EXCHANGES"&amp;CHAR(10)&amp;(SUMPRODUCT(1/COUNTIF(J9:J22,J9:J22&amp;"")))</f>
        <v>EXCHANGES
5</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201</v>
      </c>
      <c r="B4" s="6"/>
      <c r="C4" s="6"/>
      <c r="D4" s="6"/>
      <c r="E4" s="6"/>
      <c r="F4" s="6"/>
      <c r="G4" s="6"/>
      <c r="H4" s="6"/>
      <c r="I4" s="6"/>
      <c r="J4" s="6"/>
      <c r="K4" s="6"/>
      <c r="L4" s="6"/>
      <c r="M4" s="6"/>
    </row>
    <row r="6" customFormat="false" ht="25.5" hidden="false" customHeight="true" outlineLevel="0" collapsed="false">
      <c r="B6" s="7" t="s">
        <v>202</v>
      </c>
      <c r="C6" s="7"/>
      <c r="D6" s="7"/>
      <c r="E6" s="7"/>
      <c r="F6" s="7"/>
      <c r="G6" s="7"/>
      <c r="H6" s="7"/>
      <c r="I6" s="7"/>
      <c r="J6" s="7"/>
      <c r="K6" s="7"/>
      <c r="L6" s="7"/>
    </row>
    <row r="7" customFormat="false" ht="18" hidden="false" customHeight="true" outlineLevel="0" collapsed="false">
      <c r="B7" s="8" t="s">
        <v>203</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204</v>
      </c>
      <c r="C10" s="10" t="s">
        <v>205</v>
      </c>
      <c r="D10" s="10" t="s">
        <v>206</v>
      </c>
      <c r="E10" s="10" t="s">
        <v>207</v>
      </c>
      <c r="F10" s="10" t="s">
        <v>183</v>
      </c>
      <c r="G10" s="10" t="s">
        <v>20</v>
      </c>
      <c r="H10" s="10" t="s">
        <v>208</v>
      </c>
      <c r="I10" s="10" t="s">
        <v>185</v>
      </c>
      <c r="J10" s="10" t="s">
        <v>209</v>
      </c>
      <c r="K10" s="10" t="s">
        <v>210</v>
      </c>
      <c r="L10" s="11" t="s">
        <v>211</v>
      </c>
    </row>
    <row r="11" customFormat="false" ht="15" hidden="false" customHeight="false" outlineLevel="0" collapsed="false">
      <c r="B11" s="12" t="s">
        <v>212</v>
      </c>
      <c r="C11" s="25" t="s">
        <v>213</v>
      </c>
      <c r="D11" s="64" t="n">
        <v>0.42</v>
      </c>
      <c r="E11" s="27" t="n">
        <v>28000</v>
      </c>
      <c r="F11" s="17" t="n">
        <f aca="false">IFERROR(D11*E11,"")</f>
        <v>11760</v>
      </c>
      <c r="G11" s="29" t="n">
        <v>65000</v>
      </c>
      <c r="H11" s="30" t="n">
        <f aca="false">IFERROR(D11*G11,"")</f>
        <v>27300</v>
      </c>
      <c r="I11" s="31" t="n">
        <f aca="false">IFERROR(H11-F11,"")</f>
        <v>15540</v>
      </c>
      <c r="J11" s="14" t="n">
        <f aca="false">IFERROR(H11/SUM('📊 Holdings Master'!J9:J68),"")</f>
        <v>0.254213613930534</v>
      </c>
      <c r="K11" s="41" t="s">
        <v>214</v>
      </c>
      <c r="L11" s="63"/>
    </row>
    <row r="12" customFormat="false" ht="15" hidden="false" customHeight="false" outlineLevel="0" collapsed="false">
      <c r="B12" s="12" t="s">
        <v>215</v>
      </c>
      <c r="C12" s="25" t="s">
        <v>216</v>
      </c>
      <c r="D12" s="64" t="n">
        <v>2.1</v>
      </c>
      <c r="E12" s="27" t="n">
        <v>1850</v>
      </c>
      <c r="F12" s="17" t="n">
        <f aca="false">IFERROR(D12*E12,"")</f>
        <v>3885</v>
      </c>
      <c r="G12" s="29" t="n">
        <v>3200</v>
      </c>
      <c r="H12" s="30" t="n">
        <f aca="false">IFERROR(D12*G12,"")</f>
        <v>6720</v>
      </c>
      <c r="I12" s="31" t="n">
        <f aca="false">IFERROR(H12-F12,"")</f>
        <v>2835</v>
      </c>
      <c r="J12" s="14" t="n">
        <f aca="false">IFERROR(H12/SUM('📊 Holdings Master'!J9:J68),"")</f>
        <v>0.0625756588136698</v>
      </c>
      <c r="K12" s="41" t="s">
        <v>217</v>
      </c>
      <c r="L12" s="63" t="s">
        <v>192</v>
      </c>
    </row>
    <row r="13" customFormat="false" ht="15" hidden="false" customHeight="false" outlineLevel="0" collapsed="false">
      <c r="B13" s="12" t="s">
        <v>218</v>
      </c>
      <c r="C13" s="25" t="s">
        <v>219</v>
      </c>
      <c r="D13" s="64" t="n">
        <v>0</v>
      </c>
      <c r="E13" s="27" t="n">
        <v>0</v>
      </c>
      <c r="F13" s="17" t="n">
        <f aca="false">IFERROR(D13*E13,"")</f>
        <v>0</v>
      </c>
      <c r="G13" s="29" t="n">
        <v>0</v>
      </c>
      <c r="H13" s="30" t="n">
        <f aca="false">IFERROR(D13*G13,"")</f>
        <v>0</v>
      </c>
      <c r="I13" s="31" t="n">
        <f aca="false">IFERROR(H13-F13,"")</f>
        <v>0</v>
      </c>
      <c r="J13" s="14" t="n">
        <f aca="false">IFERROR(H13/SUM('📊 Holdings Master'!J9:J68),"")</f>
        <v>0</v>
      </c>
      <c r="K13" s="41"/>
      <c r="L13" s="63"/>
    </row>
    <row r="14" customFormat="false" ht="15" hidden="false" customHeight="false" outlineLevel="0" collapsed="false">
      <c r="B14" s="12"/>
      <c r="C14" s="25"/>
      <c r="D14" s="64"/>
      <c r="E14" s="27"/>
      <c r="F14" s="17" t="n">
        <f aca="false">IFERROR(D14*E14,"")</f>
        <v>0</v>
      </c>
      <c r="G14" s="29"/>
      <c r="H14" s="30" t="n">
        <f aca="false">IFERROR(D14*G14,"")</f>
        <v>0</v>
      </c>
      <c r="I14" s="31" t="n">
        <f aca="false">IFERROR(H14-F14,"")</f>
        <v>0</v>
      </c>
      <c r="J14" s="14" t="n">
        <f aca="false">IFERROR(H14/SUM('📊 Holdings Master'!J9:J68),"")</f>
        <v>0</v>
      </c>
      <c r="K14" s="41"/>
      <c r="L14" s="63"/>
    </row>
    <row r="15" customFormat="false" ht="15" hidden="false" customHeight="false" outlineLevel="0" collapsed="false">
      <c r="B15" s="12"/>
      <c r="C15" s="25"/>
      <c r="D15" s="64"/>
      <c r="E15" s="27"/>
      <c r="F15" s="17" t="n">
        <f aca="false">IFERROR(D15*E15,"")</f>
        <v>0</v>
      </c>
      <c r="G15" s="29"/>
      <c r="H15" s="30" t="n">
        <f aca="false">IFERROR(D15*G15,"")</f>
        <v>0</v>
      </c>
      <c r="I15" s="31" t="n">
        <f aca="false">IFERROR(H15-F15,"")</f>
        <v>0</v>
      </c>
      <c r="J15" s="14" t="n">
        <f aca="false">IFERROR(H15/SUM('📊 Holdings Master'!J9:J68),"")</f>
        <v>0</v>
      </c>
      <c r="K15" s="41"/>
      <c r="L15" s="63"/>
    </row>
    <row r="16" customFormat="false" ht="15" hidden="false" customHeight="false" outlineLevel="0" collapsed="false">
      <c r="B16" s="12"/>
      <c r="C16" s="25"/>
      <c r="D16" s="64"/>
      <c r="E16" s="27"/>
      <c r="F16" s="17" t="n">
        <f aca="false">IFERROR(D16*E16,"")</f>
        <v>0</v>
      </c>
      <c r="G16" s="29"/>
      <c r="H16" s="30" t="n">
        <f aca="false">IFERROR(D16*G16,"")</f>
        <v>0</v>
      </c>
      <c r="I16" s="31" t="n">
        <f aca="false">IFERROR(H16-F16,"")</f>
        <v>0</v>
      </c>
      <c r="J16" s="14" t="n">
        <f aca="false">IFERROR(H16/SUM('📊 Holdings Master'!J9:J68),"")</f>
        <v>0</v>
      </c>
      <c r="K16" s="41"/>
      <c r="L16" s="63"/>
    </row>
    <row r="17" customFormat="false" ht="15" hidden="false" customHeight="false" outlineLevel="0" collapsed="false">
      <c r="B17" s="12"/>
      <c r="C17" s="25"/>
      <c r="D17" s="64"/>
      <c r="E17" s="27"/>
      <c r="F17" s="17" t="n">
        <f aca="false">IFERROR(D17*E17,"")</f>
        <v>0</v>
      </c>
      <c r="G17" s="29"/>
      <c r="H17" s="30" t="n">
        <f aca="false">IFERROR(D17*G17,"")</f>
        <v>0</v>
      </c>
      <c r="I17" s="31" t="n">
        <f aca="false">IFERROR(H17-F17,"")</f>
        <v>0</v>
      </c>
      <c r="J17" s="14" t="n">
        <f aca="false">IFERROR(H17/SUM('📊 Holdings Master'!J9:J68),"")</f>
        <v>0</v>
      </c>
      <c r="K17" s="41"/>
      <c r="L17" s="63"/>
    </row>
    <row r="18" customFormat="false" ht="15" hidden="false" customHeight="false" outlineLevel="0" collapsed="false">
      <c r="B18" s="12"/>
      <c r="C18" s="25"/>
      <c r="D18" s="64"/>
      <c r="E18" s="27"/>
      <c r="F18" s="17" t="n">
        <f aca="false">IFERROR(D18*E18,"")</f>
        <v>0</v>
      </c>
      <c r="G18" s="29"/>
      <c r="H18" s="30" t="n">
        <f aca="false">IFERROR(D18*G18,"")</f>
        <v>0</v>
      </c>
      <c r="I18" s="31" t="n">
        <f aca="false">IFERROR(H18-F18,"")</f>
        <v>0</v>
      </c>
      <c r="J18" s="14" t="n">
        <f aca="false">IFERROR(H18/SUM('📊 Holdings Master'!J9:J68),"")</f>
        <v>0</v>
      </c>
      <c r="K18" s="41"/>
      <c r="L18" s="63"/>
    </row>
    <row r="19" customFormat="false" ht="15" hidden="false" customHeight="false" outlineLevel="0" collapsed="false">
      <c r="B19" s="12"/>
      <c r="C19" s="25"/>
      <c r="D19" s="64"/>
      <c r="E19" s="27"/>
      <c r="F19" s="17" t="n">
        <f aca="false">IFERROR(D19*E19,"")</f>
        <v>0</v>
      </c>
      <c r="G19" s="29"/>
      <c r="H19" s="30" t="n">
        <f aca="false">IFERROR(D19*G19,"")</f>
        <v>0</v>
      </c>
      <c r="I19" s="31" t="n">
        <f aca="false">IFERROR(H19-F19,"")</f>
        <v>0</v>
      </c>
      <c r="J19" s="14" t="n">
        <f aca="false">IFERROR(H19/SUM('📊 Holdings Master'!J9:J68),"")</f>
        <v>0</v>
      </c>
      <c r="K19" s="41"/>
      <c r="L19" s="63"/>
    </row>
    <row r="20" customFormat="false" ht="15" hidden="false" customHeight="false" outlineLevel="0" collapsed="false">
      <c r="B20" s="12"/>
      <c r="C20" s="25"/>
      <c r="D20" s="64"/>
      <c r="E20" s="27"/>
      <c r="F20" s="17" t="n">
        <f aca="false">IFERROR(D20*E20,"")</f>
        <v>0</v>
      </c>
      <c r="G20" s="29"/>
      <c r="H20" s="30" t="n">
        <f aca="false">IFERROR(D20*G20,"")</f>
        <v>0</v>
      </c>
      <c r="I20" s="31" t="n">
        <f aca="false">IFERROR(H20-F20,"")</f>
        <v>0</v>
      </c>
      <c r="J20" s="14" t="n">
        <f aca="false">IFERROR(H20/SUM('📊 Holdings Master'!J9:J68),"")</f>
        <v>0</v>
      </c>
      <c r="K20" s="41"/>
      <c r="L20" s="63"/>
    </row>
    <row r="21" customFormat="false" ht="15" hidden="false" customHeight="false" outlineLevel="0" collapsed="false">
      <c r="B21" s="12"/>
      <c r="C21" s="25"/>
      <c r="D21" s="64"/>
      <c r="E21" s="27"/>
      <c r="F21" s="17" t="n">
        <f aca="false">IFERROR(D21*E21,"")</f>
        <v>0</v>
      </c>
      <c r="G21" s="29"/>
      <c r="H21" s="30" t="n">
        <f aca="false">IFERROR(D21*G21,"")</f>
        <v>0</v>
      </c>
      <c r="I21" s="31" t="n">
        <f aca="false">IFERROR(H21-F21,"")</f>
        <v>0</v>
      </c>
      <c r="J21" s="14" t="n">
        <f aca="false">IFERROR(H21/SUM('📊 Holdings Master'!J9:J68),"")</f>
        <v>0</v>
      </c>
      <c r="K21" s="41"/>
      <c r="L21" s="63"/>
    </row>
    <row r="22" customFormat="false" ht="15" hidden="false" customHeight="false" outlineLevel="0" collapsed="false">
      <c r="B22" s="12"/>
      <c r="C22" s="25"/>
      <c r="D22" s="64"/>
      <c r="E22" s="27"/>
      <c r="F22" s="17" t="n">
        <f aca="false">IFERROR(D22*E22,"")</f>
        <v>0</v>
      </c>
      <c r="G22" s="29"/>
      <c r="H22" s="30" t="n">
        <f aca="false">IFERROR(D22*G22,"")</f>
        <v>0</v>
      </c>
      <c r="I22" s="31" t="n">
        <f aca="false">IFERROR(H22-F22,"")</f>
        <v>0</v>
      </c>
      <c r="J22" s="14" t="n">
        <f aca="false">IFERROR(H22/SUM('📊 Holdings Master'!J9:J68),"")</f>
        <v>0</v>
      </c>
      <c r="K22" s="41"/>
      <c r="L22" s="63"/>
    </row>
    <row r="23" customFormat="false" ht="15" hidden="false" customHeight="false" outlineLevel="0" collapsed="false">
      <c r="B23" s="12" t="s">
        <v>220</v>
      </c>
      <c r="C23" s="25"/>
      <c r="D23" s="64"/>
      <c r="E23" s="27"/>
      <c r="F23" s="17" t="n">
        <f aca="false">IFERROR(D23*E23,"")</f>
        <v>0</v>
      </c>
      <c r="G23" s="29"/>
      <c r="H23" s="30" t="n">
        <f aca="false">IFERROR(D23*G23,"")</f>
        <v>0</v>
      </c>
      <c r="I23" s="31" t="n">
        <f aca="false">IFERROR(H23-F23,"")</f>
        <v>0</v>
      </c>
      <c r="J23" s="14" t="n">
        <f aca="false">IFERROR(H23/SUM('📊 Holdings Master'!J9:J68),"")</f>
        <v>0</v>
      </c>
      <c r="K23" s="41"/>
      <c r="L23" s="63"/>
    </row>
    <row r="24" customFormat="false" ht="15" hidden="false" customHeight="false" outlineLevel="0" collapsed="false">
      <c r="B24" s="12"/>
      <c r="C24" s="25"/>
      <c r="D24" s="64"/>
      <c r="E24" s="27"/>
      <c r="F24" s="17" t="n">
        <f aca="false">IFERROR(D24*E24,"")</f>
        <v>0</v>
      </c>
      <c r="G24" s="29"/>
      <c r="H24" s="30" t="n">
        <f aca="false">IFERROR(D24*G24,"")</f>
        <v>0</v>
      </c>
      <c r="I24" s="31" t="n">
        <f aca="false">IFERROR(H24-F24,"")</f>
        <v>0</v>
      </c>
      <c r="J24" s="14" t="n">
        <f aca="false">IFERROR(H24/SUM('📊 Holdings Master'!J9:J68),"")</f>
        <v>0</v>
      </c>
      <c r="K24" s="41"/>
      <c r="L24" s="63"/>
    </row>
    <row r="26" customFormat="false" ht="31.5" hidden="false" customHeight="true" outlineLevel="0" collapsed="false">
      <c r="B26" s="22" t="s">
        <v>221</v>
      </c>
      <c r="C26" s="22"/>
      <c r="D26" s="22"/>
      <c r="E26" s="22"/>
      <c r="F26" s="22"/>
      <c r="G26" s="22"/>
      <c r="H26" s="22"/>
      <c r="I26" s="22"/>
      <c r="J26" s="22"/>
      <c r="K26" s="22"/>
      <c r="L26" s="22"/>
    </row>
    <row r="27" customFormat="false" ht="31.5" hidden="false" customHeight="true" outlineLevel="0" collapsed="false">
      <c r="B27" s="22"/>
      <c r="C27" s="22"/>
      <c r="D27" s="22"/>
      <c r="E27" s="22"/>
      <c r="F27" s="22"/>
      <c r="G27" s="22"/>
      <c r="H27" s="22"/>
      <c r="I27" s="22"/>
      <c r="J27" s="22"/>
      <c r="K27" s="22"/>
      <c r="L27" s="22"/>
    </row>
    <row r="31" customFormat="false" ht="3" hidden="false" customHeight="true" outlineLevel="0" collapsed="false">
      <c r="A31" s="9"/>
      <c r="B31" s="9"/>
      <c r="C31" s="9"/>
      <c r="D31" s="9"/>
      <c r="E31" s="9"/>
      <c r="F31" s="9"/>
      <c r="G31" s="9"/>
      <c r="H31" s="9"/>
      <c r="I31" s="9"/>
      <c r="J31" s="9"/>
      <c r="K31" s="9"/>
      <c r="L31" s="9"/>
      <c r="M31" s="9"/>
    </row>
    <row r="32" customFormat="false" ht="21.75" hidden="false" customHeight="true" outlineLevel="0" collapsed="false">
      <c r="A32" s="23" t="s">
        <v>49</v>
      </c>
      <c r="B32" s="23"/>
      <c r="C32" s="23"/>
      <c r="D32" s="23"/>
      <c r="E32" s="23"/>
      <c r="F32" s="23"/>
      <c r="G32" s="23"/>
      <c r="H32" s="23"/>
      <c r="I32" s="23"/>
      <c r="J32" s="23"/>
      <c r="K32" s="23"/>
      <c r="L32" s="23"/>
      <c r="M32"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6:L27"/>
    <mergeCell ref="A31:M31"/>
    <mergeCell ref="A32:M3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2"/>
    <col collapsed="false" customWidth="true" hidden="false" outlineLevel="0" max="7" min="4" style="0" width="10"/>
    <col collapsed="false" customWidth="true" hidden="false" outlineLevel="0" max="8" min="8" style="0" width="12"/>
    <col collapsed="false" customWidth="true" hidden="false" outlineLevel="0" max="9" min="9" style="0" width="10"/>
    <col collapsed="false" customWidth="true" hidden="false" outlineLevel="0" max="11" min="11" style="0" width="13"/>
    <col collapsed="false" customWidth="true" hidden="false" outlineLevel="0" max="12" min="12" style="0" width="8"/>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222</v>
      </c>
      <c r="K1" s="3"/>
      <c r="L1" s="3"/>
      <c r="M1" s="3"/>
    </row>
    <row r="2" customFormat="false" ht="54" hidden="false" customHeight="true" outlineLevel="0" collapsed="false">
      <c r="A2" s="4" t="str">
        <f aca="false">"REITS"&amp;CHAR(10)&amp;(COUNTA(B9:B20))</f>
        <v>REITS
4</v>
      </c>
      <c r="B2" s="4"/>
      <c r="C2" s="4" t="str">
        <f aca="false">"POSITION $"&amp;CHAR(10)&amp;(TEXT(SUM(H9:H20),"$#,##0"))</f>
        <v>POSITION $
$14,999</v>
      </c>
      <c r="D2" s="4"/>
      <c r="E2" s="4" t="str">
        <f aca="false">"AVG YIELD"&amp;CHAR(10)&amp;(TEXT(IFERROR(SUMPRODUCT(H9:H20,I9:I20)/SUM(H9:H20),0),"0.00%"))</f>
        <v>AVG YIELD
3.80%</v>
      </c>
      <c r="F2" s="4"/>
      <c r="G2" s="4" t="str">
        <f aca="false">"DIV $/YR"&amp;CHAR(10)&amp;(TEXT(SUMPRODUCT(H9:H20,I9:I20),"$#,##0"))</f>
        <v>DIV $/YR
$570</v>
      </c>
      <c r="H2" s="4"/>
      <c r="I2" s="4" t="str">
        <f aca="false">"IN ROTH"&amp;CHAR(10)&amp;(COUNTIF(K9:K20,"Roth IRA"))</f>
        <v>IN ROTH
0</v>
      </c>
      <c r="J2" s="4"/>
      <c r="K2" s="4" t="str">
        <f aca="false">"AVG FFO"&amp;CHAR(10)&amp;(TEXT(IFERROR(AVERAGE(J9:J20),0),"$#,##0.00"))</f>
        <v>AVG FFO
$3.25</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223</v>
      </c>
      <c r="B4" s="6"/>
      <c r="C4" s="6"/>
      <c r="D4" s="6"/>
      <c r="E4" s="6"/>
      <c r="F4" s="6"/>
      <c r="G4" s="6"/>
      <c r="H4" s="6"/>
      <c r="I4" s="6"/>
      <c r="J4" s="6"/>
      <c r="K4" s="6"/>
      <c r="L4" s="6"/>
      <c r="M4" s="6"/>
    </row>
    <row r="6" customFormat="false" ht="25.5" hidden="false" customHeight="true" outlineLevel="0" collapsed="false">
      <c r="B6" s="7" t="s">
        <v>224</v>
      </c>
      <c r="C6" s="7"/>
      <c r="D6" s="7"/>
      <c r="E6" s="7"/>
      <c r="F6" s="7"/>
      <c r="G6" s="7"/>
      <c r="H6" s="7"/>
      <c r="I6" s="7"/>
      <c r="J6" s="7"/>
      <c r="K6" s="7"/>
      <c r="L6" s="7"/>
    </row>
    <row r="7" customFormat="false" ht="18" hidden="false" customHeight="true" outlineLevel="0" collapsed="false">
      <c r="B7" s="8" t="s">
        <v>225</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8</v>
      </c>
      <c r="C10" s="10" t="s">
        <v>99</v>
      </c>
      <c r="D10" s="10" t="s">
        <v>226</v>
      </c>
      <c r="E10" s="10" t="s">
        <v>101</v>
      </c>
      <c r="F10" s="10" t="s">
        <v>102</v>
      </c>
      <c r="G10" s="10" t="s">
        <v>227</v>
      </c>
      <c r="H10" s="10" t="s">
        <v>9</v>
      </c>
      <c r="I10" s="10" t="s">
        <v>228</v>
      </c>
      <c r="J10" s="10" t="s">
        <v>229</v>
      </c>
      <c r="K10" s="10" t="s">
        <v>69</v>
      </c>
      <c r="L10" s="11" t="s">
        <v>74</v>
      </c>
    </row>
    <row r="11" customFormat="false" ht="15" hidden="false" customHeight="false" outlineLevel="0" collapsed="false">
      <c r="B11" s="12" t="s">
        <v>127</v>
      </c>
      <c r="C11" s="25" t="s">
        <v>230</v>
      </c>
      <c r="D11" s="41" t="s">
        <v>231</v>
      </c>
      <c r="E11" s="65" t="n">
        <v>165</v>
      </c>
      <c r="F11" s="27" t="n">
        <v>88.1</v>
      </c>
      <c r="G11" s="29" t="n">
        <v>90.9</v>
      </c>
      <c r="H11" s="30" t="n">
        <f aca="false">IFERROR(E11*G11,"")</f>
        <v>14998.5</v>
      </c>
      <c r="I11" s="44" t="n">
        <v>0.038</v>
      </c>
      <c r="J11" s="27" t="n">
        <v>0</v>
      </c>
      <c r="K11" s="41" t="s">
        <v>56</v>
      </c>
      <c r="L11" s="60"/>
    </row>
    <row r="12" customFormat="false" ht="15" hidden="false" customHeight="false" outlineLevel="0" collapsed="false">
      <c r="B12" s="12" t="s">
        <v>232</v>
      </c>
      <c r="C12" s="25" t="s">
        <v>233</v>
      </c>
      <c r="D12" s="41" t="s">
        <v>234</v>
      </c>
      <c r="E12" s="65" t="n">
        <v>0</v>
      </c>
      <c r="F12" s="27" t="n">
        <v>0</v>
      </c>
      <c r="G12" s="29" t="n">
        <v>0</v>
      </c>
      <c r="H12" s="30" t="n">
        <f aca="false">IFERROR(E12*G12,"")</f>
        <v>0</v>
      </c>
      <c r="I12" s="44" t="n">
        <v>0</v>
      </c>
      <c r="J12" s="27" t="n">
        <v>4.05</v>
      </c>
      <c r="K12" s="41"/>
      <c r="L12" s="60"/>
    </row>
    <row r="13" customFormat="false" ht="15" hidden="false" customHeight="false" outlineLevel="0" collapsed="false">
      <c r="B13" s="12" t="s">
        <v>235</v>
      </c>
      <c r="C13" s="25" t="s">
        <v>236</v>
      </c>
      <c r="D13" s="41" t="s">
        <v>237</v>
      </c>
      <c r="E13" s="65" t="n">
        <v>0</v>
      </c>
      <c r="F13" s="27" t="n">
        <v>0</v>
      </c>
      <c r="G13" s="29" t="n">
        <v>0</v>
      </c>
      <c r="H13" s="30" t="n">
        <f aca="false">IFERROR(E13*G13,"")</f>
        <v>0</v>
      </c>
      <c r="I13" s="44" t="n">
        <v>0</v>
      </c>
      <c r="J13" s="27" t="n">
        <v>5.7</v>
      </c>
      <c r="K13" s="41"/>
      <c r="L13" s="60"/>
    </row>
    <row r="14" customFormat="false" ht="15" hidden="false" customHeight="false" outlineLevel="0" collapsed="false">
      <c r="B14" s="12"/>
      <c r="C14" s="25"/>
      <c r="D14" s="41"/>
      <c r="E14" s="65"/>
      <c r="F14" s="27"/>
      <c r="G14" s="29"/>
      <c r="H14" s="30" t="n">
        <f aca="false">IFERROR(E14*G14,"")</f>
        <v>0</v>
      </c>
      <c r="I14" s="44"/>
      <c r="J14" s="27"/>
      <c r="K14" s="41"/>
      <c r="L14" s="60"/>
    </row>
    <row r="15" customFormat="false" ht="15" hidden="false" customHeight="false" outlineLevel="0" collapsed="false">
      <c r="B15" s="12"/>
      <c r="C15" s="25"/>
      <c r="D15" s="41"/>
      <c r="E15" s="65"/>
      <c r="F15" s="27"/>
      <c r="G15" s="29"/>
      <c r="H15" s="30" t="n">
        <f aca="false">IFERROR(E15*G15,"")</f>
        <v>0</v>
      </c>
      <c r="I15" s="44"/>
      <c r="J15" s="27"/>
      <c r="K15" s="41"/>
      <c r="L15" s="60"/>
    </row>
    <row r="16" customFormat="false" ht="15" hidden="false" customHeight="false" outlineLevel="0" collapsed="false">
      <c r="B16" s="12"/>
      <c r="C16" s="25"/>
      <c r="D16" s="41"/>
      <c r="E16" s="65"/>
      <c r="F16" s="27"/>
      <c r="G16" s="29"/>
      <c r="H16" s="30" t="n">
        <f aca="false">IFERROR(E16*G16,"")</f>
        <v>0</v>
      </c>
      <c r="I16" s="44"/>
      <c r="J16" s="27"/>
      <c r="K16" s="41"/>
      <c r="L16" s="60"/>
    </row>
    <row r="17" customFormat="false" ht="15" hidden="false" customHeight="false" outlineLevel="0" collapsed="false">
      <c r="B17" s="12"/>
      <c r="C17" s="25"/>
      <c r="D17" s="41"/>
      <c r="E17" s="65"/>
      <c r="F17" s="27"/>
      <c r="G17" s="29"/>
      <c r="H17" s="30" t="n">
        <f aca="false">IFERROR(E17*G17,"")</f>
        <v>0</v>
      </c>
      <c r="I17" s="44"/>
      <c r="J17" s="27"/>
      <c r="K17" s="41"/>
      <c r="L17" s="60"/>
    </row>
    <row r="18" customFormat="false" ht="15" hidden="false" customHeight="false" outlineLevel="0" collapsed="false">
      <c r="B18" s="12"/>
      <c r="C18" s="25"/>
      <c r="D18" s="41"/>
      <c r="E18" s="65"/>
      <c r="F18" s="27"/>
      <c r="G18" s="29"/>
      <c r="H18" s="30" t="n">
        <f aca="false">IFERROR(E18*G18,"")</f>
        <v>0</v>
      </c>
      <c r="I18" s="44"/>
      <c r="J18" s="27"/>
      <c r="K18" s="41"/>
      <c r="L18" s="60"/>
    </row>
    <row r="19" customFormat="false" ht="15" hidden="false" customHeight="false" outlineLevel="0" collapsed="false">
      <c r="B19" s="12"/>
      <c r="C19" s="25"/>
      <c r="D19" s="41"/>
      <c r="E19" s="65"/>
      <c r="F19" s="27"/>
      <c r="G19" s="29"/>
      <c r="H19" s="30" t="n">
        <f aca="false">IFERROR(E19*G19,"")</f>
        <v>0</v>
      </c>
      <c r="I19" s="44"/>
      <c r="J19" s="27"/>
      <c r="K19" s="41"/>
      <c r="L19" s="60"/>
    </row>
    <row r="20" customFormat="false" ht="15" hidden="false" customHeight="false" outlineLevel="0" collapsed="false">
      <c r="B20" s="12"/>
      <c r="C20" s="25"/>
      <c r="D20" s="41"/>
      <c r="E20" s="65"/>
      <c r="F20" s="27"/>
      <c r="G20" s="29"/>
      <c r="H20" s="30" t="n">
        <f aca="false">IFERROR(E20*G20,"")</f>
        <v>0</v>
      </c>
      <c r="I20" s="44"/>
      <c r="J20" s="27"/>
      <c r="K20" s="41"/>
      <c r="L20" s="60"/>
    </row>
    <row r="21" customFormat="false" ht="15" hidden="false" customHeight="false" outlineLevel="0" collapsed="false">
      <c r="B21" s="12"/>
      <c r="C21" s="25"/>
      <c r="D21" s="41"/>
      <c r="E21" s="65"/>
      <c r="F21" s="27"/>
      <c r="G21" s="29"/>
      <c r="H21" s="30" t="n">
        <f aca="false">IFERROR(E21*G21,"")</f>
        <v>0</v>
      </c>
      <c r="I21" s="44"/>
      <c r="J21" s="27"/>
      <c r="K21" s="41"/>
      <c r="L21" s="60"/>
    </row>
    <row r="22" customFormat="false" ht="15" hidden="false" customHeight="false" outlineLevel="0" collapsed="false">
      <c r="B22" s="12"/>
      <c r="C22" s="25"/>
      <c r="D22" s="41"/>
      <c r="E22" s="65"/>
      <c r="F22" s="27"/>
      <c r="G22" s="29"/>
      <c r="H22" s="30" t="n">
        <f aca="false">IFERROR(E22*G22,"")</f>
        <v>0</v>
      </c>
      <c r="I22" s="44"/>
      <c r="J22" s="27"/>
      <c r="K22" s="41"/>
      <c r="L22" s="60"/>
    </row>
    <row r="25" customFormat="false" ht="30" hidden="false" customHeight="true" outlineLevel="0" collapsed="false">
      <c r="B25" s="22" t="s">
        <v>238</v>
      </c>
      <c r="C25" s="22"/>
      <c r="D25" s="22"/>
      <c r="E25" s="22"/>
      <c r="F25" s="22"/>
      <c r="G25" s="22"/>
      <c r="H25" s="22"/>
      <c r="I25" s="22"/>
      <c r="J25" s="22"/>
      <c r="K25" s="22"/>
      <c r="L25" s="22"/>
    </row>
    <row r="26" customFormat="false" ht="30" hidden="false" customHeight="true" outlineLevel="0" collapsed="false">
      <c r="B26" s="22"/>
      <c r="C26" s="22"/>
      <c r="D26" s="22"/>
      <c r="E26" s="22"/>
      <c r="F26" s="22"/>
      <c r="G26" s="22"/>
      <c r="H26" s="22"/>
      <c r="I26" s="22"/>
      <c r="J26" s="22"/>
      <c r="K26" s="22"/>
      <c r="L26" s="22"/>
    </row>
    <row r="30" customFormat="false" ht="3" hidden="false" customHeight="true" outlineLevel="0" collapsed="false">
      <c r="A30" s="9"/>
      <c r="B30" s="9"/>
      <c r="C30" s="9"/>
      <c r="D30" s="9"/>
      <c r="E30" s="9"/>
      <c r="F30" s="9"/>
      <c r="G30" s="9"/>
      <c r="H30" s="9"/>
      <c r="I30" s="9"/>
      <c r="J30" s="9"/>
      <c r="K30" s="9"/>
      <c r="L30" s="9"/>
      <c r="M30" s="9"/>
    </row>
    <row r="31" customFormat="false" ht="21.75" hidden="false" customHeight="true" outlineLevel="0" collapsed="false">
      <c r="A31" s="23" t="s">
        <v>49</v>
      </c>
      <c r="B31" s="23"/>
      <c r="C31" s="23"/>
      <c r="D31" s="23"/>
      <c r="E31" s="23"/>
      <c r="F31" s="23"/>
      <c r="G31" s="23"/>
      <c r="H31" s="23"/>
      <c r="I31" s="23"/>
      <c r="J31" s="23"/>
      <c r="K31" s="23"/>
      <c r="L31" s="23"/>
      <c r="M31"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5:L26"/>
    <mergeCell ref="A30:M30"/>
    <mergeCell ref="A31:M31"/>
  </mergeCells>
  <conditionalFormatting sqref="K11:K22">
    <cfRule type="containsText" priority="2" operator="containsText" aboveAverage="0" equalAverage="0" bottom="0" percent="0" rank="0" text="" dxfId="7">
      <formula>NOT(ISERROR(SEARCH("",K11)))</formula>
    </cfRule>
    <cfRule type="containsText" priority="3" operator="containsText" aboveAverage="0" equalAverage="0" bottom="0" percent="0" rank="0" text="" dxfId="8">
      <formula>NOT(ISERROR(SEARCH("",K11)))</formula>
    </cfRule>
  </conditionalFormatting>
  <dataValidations count="2">
    <dataValidation allowBlank="true" errorStyle="stop" operator="between" showDropDown="false" showErrorMessage="false" showInputMessage="false" sqref="D11:D22" type="list">
      <formula1>"Diversified,Industrial,Residential,Healthcare,Office,Data Center,Retail (Net Lease),Retail (Mall),Specialty,Mortgage"</formula1>
      <formula2>0</formula2>
    </dataValidation>
    <dataValidation allowBlank="true" errorStyle="stop" operator="between" showDropDown="false" showErrorMessage="false" showInputMessage="false" sqref="K11:K22" type="list">
      <formula1>"Brokerage Taxable,Roth IRA,Traditional IRA,401k,SEP IRA,HSA,529,Other"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7" min="4" style="0" width="11"/>
    <col collapsed="false" customWidth="true" hidden="false" outlineLevel="0" max="9" min="8" style="0" width="12"/>
    <col collapsed="false" customWidth="true" hidden="false" outlineLevel="0" max="11" min="10" style="0" width="11"/>
    <col collapsed="false" customWidth="true" hidden="false" outlineLevel="0" max="12" min="12"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239</v>
      </c>
      <c r="K1" s="3"/>
      <c r="L1" s="3"/>
      <c r="M1" s="3"/>
    </row>
    <row r="2" customFormat="false" ht="54" hidden="false" customHeight="true" outlineLevel="0" collapsed="false">
      <c r="A2" s="4" t="str">
        <f aca="false">"GRANTS"&amp;CHAR(10)&amp;(COUNTA(B9:B22)+COUNTA(B27:B40))</f>
        <v>GRANTS
4</v>
      </c>
      <c r="B2" s="4"/>
      <c r="C2" s="4" t="str">
        <f aca="false">"VESTED $"&amp;CHAR(10)&amp;(TEXT(SUM(I27:I40),"$#,##0"))</f>
        <v>VESTED $
$8,500</v>
      </c>
      <c r="D2" s="4"/>
      <c r="E2" s="4" t="str">
        <f aca="false">"UNVESTED $"&amp;CHAR(10)&amp;(TEXT(SUM(J27:J40),"$#,##0"))</f>
        <v>UNVESTED $
$39,000</v>
      </c>
      <c r="F2" s="4"/>
      <c r="G2" s="4" t="str">
        <f aca="false">"OPTIONS DELTA"&amp;CHAR(10)&amp;(TEXT(IFERROR(SUMPRODUCT(E9:E22,F9:F22),0),"$#,##0"))</f>
        <v>OPTIONS DELTA
$0</v>
      </c>
      <c r="H2" s="4"/>
      <c r="I2" s="4" t="str">
        <f aca="true">"EXPIRING &lt;90d"&amp;CHAR(10)&amp;(COUNTIFS(H9:H22,"&lt;="&amp;(TODAY()+90),H9:H22,"&gt;="&amp;TODAY()))</f>
        <v>EXPIRING &lt;90d
0</v>
      </c>
      <c r="J2" s="4"/>
      <c r="K2" s="4" t="str">
        <f aca="false">"EMP CONC %"&amp;CHAR(10)&amp;(TEXT(IFERROR((SUM(I27:I40))/SUM('📊 Holdings Master'!J9:J68),0),"0.0%"))</f>
        <v>EMP CONC %
7.9%</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240</v>
      </c>
      <c r="B4" s="6"/>
      <c r="C4" s="6"/>
      <c r="D4" s="6"/>
      <c r="E4" s="6"/>
      <c r="F4" s="6"/>
      <c r="G4" s="6"/>
      <c r="H4" s="6"/>
      <c r="I4" s="6"/>
      <c r="J4" s="6"/>
      <c r="K4" s="6"/>
      <c r="L4" s="6"/>
      <c r="M4" s="6"/>
    </row>
    <row r="6" customFormat="false" ht="30" hidden="false" customHeight="true" outlineLevel="0" collapsed="false">
      <c r="B6" s="66" t="str">
        <f aca="false">IF((SUM(I27:I40))/MAX(1,SUM('📊 Holdings Master'!J9:J68))&gt;0.1,"🔴 EMPLOYER STOCK &gt;10% OF PORTFOLIO — concentration risk compounds with employment risk. Consider sell-on-vest policy.","✓ Employer stock concentration within healthy band (&lt;10% of portfolio)")</f>
        <v>✓ Employer stock concentration within healthy band (&lt;10% of portfolio)</v>
      </c>
      <c r="C6" s="66"/>
      <c r="D6" s="66"/>
      <c r="E6" s="66"/>
      <c r="F6" s="66"/>
      <c r="G6" s="66"/>
      <c r="H6" s="66"/>
      <c r="I6" s="66"/>
      <c r="J6" s="66"/>
      <c r="K6" s="66"/>
      <c r="L6" s="66"/>
    </row>
    <row r="7" customFormat="false" ht="25.5" hidden="false" customHeight="true" outlineLevel="0" collapsed="false">
      <c r="B7" s="7" t="s">
        <v>241</v>
      </c>
      <c r="C7" s="7"/>
      <c r="D7" s="7"/>
      <c r="E7" s="7"/>
      <c r="F7" s="7"/>
      <c r="G7" s="7"/>
      <c r="H7" s="7"/>
      <c r="I7" s="7"/>
      <c r="J7" s="7"/>
      <c r="K7" s="7"/>
      <c r="L7" s="7"/>
    </row>
    <row r="8" customFormat="false" ht="18" hidden="false" customHeight="true" outlineLevel="0" collapsed="false">
      <c r="B8" s="8" t="s">
        <v>242</v>
      </c>
      <c r="C8" s="8"/>
      <c r="D8" s="8"/>
      <c r="E8" s="8"/>
      <c r="F8" s="8"/>
      <c r="G8" s="8"/>
      <c r="H8" s="8"/>
      <c r="I8" s="8"/>
      <c r="J8" s="8"/>
      <c r="K8" s="8"/>
      <c r="L8" s="8"/>
    </row>
    <row r="9" customFormat="false" ht="3" hidden="false" customHeight="true" outlineLevel="0" collapsed="false">
      <c r="B9" s="9"/>
      <c r="C9" s="9"/>
      <c r="D9" s="9"/>
      <c r="E9" s="9"/>
      <c r="F9" s="9"/>
      <c r="G9" s="9"/>
      <c r="H9" s="9"/>
      <c r="I9" s="9"/>
      <c r="J9" s="9"/>
      <c r="K9" s="9"/>
      <c r="L9" s="9"/>
    </row>
    <row r="11" customFormat="false" ht="24" hidden="false" customHeight="true" outlineLevel="0" collapsed="false">
      <c r="B11" s="10" t="s">
        <v>8</v>
      </c>
      <c r="C11" s="10" t="s">
        <v>100</v>
      </c>
      <c r="D11" s="10" t="s">
        <v>243</v>
      </c>
      <c r="E11" s="10" t="s">
        <v>244</v>
      </c>
      <c r="F11" s="10" t="s">
        <v>245</v>
      </c>
      <c r="G11" s="10" t="s">
        <v>183</v>
      </c>
      <c r="H11" s="10" t="s">
        <v>20</v>
      </c>
      <c r="I11" s="10" t="s">
        <v>246</v>
      </c>
      <c r="J11" s="10" t="s">
        <v>247</v>
      </c>
      <c r="K11" s="10" t="s">
        <v>185</v>
      </c>
      <c r="L11" s="11" t="s">
        <v>24</v>
      </c>
    </row>
    <row r="12" customFormat="false" ht="15" hidden="false" customHeight="false" outlineLevel="0" collapsed="false">
      <c r="B12" s="12"/>
      <c r="C12" s="42"/>
      <c r="D12" s="39"/>
      <c r="E12" s="39"/>
      <c r="F12" s="17"/>
      <c r="G12" s="17"/>
      <c r="H12" s="67"/>
      <c r="I12" s="68" t="n">
        <f aca="true">IFERROR(H12-TODAY(),"")</f>
        <v>-46165</v>
      </c>
      <c r="J12" s="31" t="n">
        <f aca="false">IFERROR(G12-F12,"")</f>
        <v>0</v>
      </c>
      <c r="K12" s="15" t="str">
        <f aca="false">IF(I12="","",IF(I12&lt;30,"⚠ Expiring",IF(I12&lt;90,"Watch","OK")))</f>
        <v>⚠ Expiring</v>
      </c>
    </row>
    <row r="13" customFormat="false" ht="15" hidden="false" customHeight="false" outlineLevel="0" collapsed="false">
      <c r="B13" s="12"/>
      <c r="C13" s="42"/>
      <c r="D13" s="39"/>
      <c r="E13" s="39"/>
      <c r="F13" s="17"/>
      <c r="G13" s="17"/>
      <c r="H13" s="67"/>
      <c r="I13" s="68" t="n">
        <f aca="true">IFERROR(H13-TODAY(),"")</f>
        <v>-46165</v>
      </c>
      <c r="J13" s="31" t="n">
        <f aca="false">IFERROR(G13-F13,"")</f>
        <v>0</v>
      </c>
      <c r="K13" s="15" t="str">
        <f aca="false">IF(I13="","",IF(I13&lt;30,"⚠ Expiring",IF(I13&lt;90,"Watch","OK")))</f>
        <v>⚠ Expiring</v>
      </c>
    </row>
    <row r="14" customFormat="false" ht="15" hidden="false" customHeight="false" outlineLevel="0" collapsed="false">
      <c r="B14" s="12"/>
      <c r="C14" s="42"/>
      <c r="D14" s="39"/>
      <c r="E14" s="39"/>
      <c r="F14" s="17"/>
      <c r="G14" s="17"/>
      <c r="H14" s="67"/>
      <c r="I14" s="68" t="n">
        <f aca="true">IFERROR(H14-TODAY(),"")</f>
        <v>-46165</v>
      </c>
      <c r="J14" s="31" t="n">
        <f aca="false">IFERROR(G14-F14,"")</f>
        <v>0</v>
      </c>
      <c r="K14" s="15" t="str">
        <f aca="false">IF(I14="","",IF(I14&lt;30,"⚠ Expiring",IF(I14&lt;90,"Watch","OK")))</f>
        <v>⚠ Expiring</v>
      </c>
    </row>
    <row r="15" customFormat="false" ht="15" hidden="false" customHeight="false" outlineLevel="0" collapsed="false">
      <c r="B15" s="12"/>
      <c r="C15" s="42"/>
      <c r="D15" s="39"/>
      <c r="E15" s="39"/>
      <c r="F15" s="17"/>
      <c r="G15" s="17"/>
      <c r="H15" s="67"/>
      <c r="I15" s="68" t="n">
        <f aca="true">IFERROR(H15-TODAY(),"")</f>
        <v>-46165</v>
      </c>
      <c r="J15" s="31" t="n">
        <f aca="false">IFERROR(G15-F15,"")</f>
        <v>0</v>
      </c>
      <c r="K15" s="15" t="str">
        <f aca="false">IF(I15="","",IF(I15&lt;30,"⚠ Expiring",IF(I15&lt;90,"Watch","OK")))</f>
        <v>⚠ Expiring</v>
      </c>
    </row>
    <row r="16" customFormat="false" ht="15" hidden="false" customHeight="false" outlineLevel="0" collapsed="false">
      <c r="B16" s="12"/>
      <c r="C16" s="42"/>
      <c r="D16" s="39"/>
      <c r="E16" s="39"/>
      <c r="F16" s="17"/>
      <c r="G16" s="17"/>
      <c r="H16" s="67"/>
      <c r="I16" s="68" t="n">
        <f aca="true">IFERROR(H16-TODAY(),"")</f>
        <v>-46165</v>
      </c>
      <c r="J16" s="31" t="n">
        <f aca="false">IFERROR(G16-F16,"")</f>
        <v>0</v>
      </c>
      <c r="K16" s="15" t="str">
        <f aca="false">IF(I16="","",IF(I16&lt;30,"⚠ Expiring",IF(I16&lt;90,"Watch","OK")))</f>
        <v>⚠ Expiring</v>
      </c>
    </row>
    <row r="17" customFormat="false" ht="15" hidden="false" customHeight="false" outlineLevel="0" collapsed="false">
      <c r="B17" s="12"/>
      <c r="C17" s="42"/>
      <c r="D17" s="39"/>
      <c r="E17" s="39"/>
      <c r="F17" s="17"/>
      <c r="G17" s="17"/>
      <c r="H17" s="67"/>
      <c r="I17" s="68" t="n">
        <f aca="true">IFERROR(H17-TODAY(),"")</f>
        <v>-46165</v>
      </c>
      <c r="J17" s="31" t="n">
        <f aca="false">IFERROR(G17-F17,"")</f>
        <v>0</v>
      </c>
      <c r="K17" s="15" t="str">
        <f aca="false">IF(I17="","",IF(I17&lt;30,"⚠ Expiring",IF(I17&lt;90,"Watch","OK")))</f>
        <v>⚠ Expiring</v>
      </c>
    </row>
    <row r="18" customFormat="false" ht="15" hidden="false" customHeight="false" outlineLevel="0" collapsed="false">
      <c r="B18" s="12"/>
      <c r="C18" s="42"/>
      <c r="D18" s="39"/>
      <c r="E18" s="39"/>
      <c r="F18" s="17"/>
      <c r="G18" s="17"/>
      <c r="H18" s="67"/>
      <c r="I18" s="68" t="n">
        <f aca="true">IFERROR(H18-TODAY(),"")</f>
        <v>-46165</v>
      </c>
      <c r="J18" s="31" t="n">
        <f aca="false">IFERROR(G18-F18,"")</f>
        <v>0</v>
      </c>
      <c r="K18" s="15" t="str">
        <f aca="false">IF(I18="","",IF(I18&lt;30,"⚠ Expiring",IF(I18&lt;90,"Watch","OK")))</f>
        <v>⚠ Expiring</v>
      </c>
    </row>
    <row r="19" customFormat="false" ht="15" hidden="false" customHeight="false" outlineLevel="0" collapsed="false">
      <c r="B19" s="12"/>
      <c r="C19" s="42"/>
      <c r="D19" s="39"/>
      <c r="E19" s="39"/>
      <c r="F19" s="17"/>
      <c r="G19" s="17"/>
      <c r="H19" s="67"/>
      <c r="I19" s="68" t="n">
        <f aca="true">IFERROR(H19-TODAY(),"")</f>
        <v>-46165</v>
      </c>
      <c r="J19" s="31" t="n">
        <f aca="false">IFERROR(G19-F19,"")</f>
        <v>0</v>
      </c>
      <c r="K19" s="15" t="str">
        <f aca="false">IF(I19="","",IF(I19&lt;30,"⚠ Expiring",IF(I19&lt;90,"Watch","OK")))</f>
        <v>⚠ Expiring</v>
      </c>
    </row>
    <row r="20" customFormat="false" ht="15" hidden="false" customHeight="false" outlineLevel="0" collapsed="false">
      <c r="B20" s="12"/>
      <c r="C20" s="42"/>
      <c r="D20" s="39"/>
      <c r="E20" s="39"/>
      <c r="F20" s="17"/>
      <c r="G20" s="17"/>
      <c r="H20" s="67"/>
      <c r="I20" s="68" t="n">
        <f aca="true">IFERROR(H20-TODAY(),"")</f>
        <v>-46165</v>
      </c>
      <c r="J20" s="31" t="n">
        <f aca="false">IFERROR(G20-F20,"")</f>
        <v>0</v>
      </c>
      <c r="K20" s="15" t="str">
        <f aca="false">IF(I20="","",IF(I20&lt;30,"⚠ Expiring",IF(I20&lt;90,"Watch","OK")))</f>
        <v>⚠ Expiring</v>
      </c>
    </row>
    <row r="21" customFormat="false" ht="15" hidden="false" customHeight="false" outlineLevel="0" collapsed="false">
      <c r="B21" s="12"/>
      <c r="C21" s="42"/>
      <c r="D21" s="39"/>
      <c r="E21" s="39"/>
      <c r="F21" s="17"/>
      <c r="G21" s="17"/>
      <c r="H21" s="67"/>
      <c r="I21" s="68" t="n">
        <f aca="true">IFERROR(H21-TODAY(),"")</f>
        <v>-46165</v>
      </c>
      <c r="J21" s="31" t="n">
        <f aca="false">IFERROR(G21-F21,"")</f>
        <v>0</v>
      </c>
      <c r="K21" s="15" t="str">
        <f aca="false">IF(I21="","",IF(I21&lt;30,"⚠ Expiring",IF(I21&lt;90,"Watch","OK")))</f>
        <v>⚠ Expiring</v>
      </c>
    </row>
    <row r="22" customFormat="false" ht="15" hidden="false" customHeight="false" outlineLevel="0" collapsed="false">
      <c r="B22" s="12"/>
      <c r="C22" s="42"/>
      <c r="D22" s="39"/>
      <c r="E22" s="39"/>
      <c r="F22" s="17"/>
      <c r="G22" s="17"/>
      <c r="H22" s="67"/>
      <c r="I22" s="68" t="n">
        <f aca="true">IFERROR(H22-TODAY(),"")</f>
        <v>-46165</v>
      </c>
      <c r="J22" s="31" t="n">
        <f aca="false">IFERROR(G22-F22,"")</f>
        <v>0</v>
      </c>
      <c r="K22" s="15" t="str">
        <f aca="false">IF(I22="","",IF(I22&lt;30,"⚠ Expiring",IF(I22&lt;90,"Watch","OK")))</f>
        <v>⚠ Expiring</v>
      </c>
    </row>
    <row r="23" customFormat="false" ht="15" hidden="false" customHeight="false" outlineLevel="0" collapsed="false">
      <c r="B23" s="12"/>
      <c r="C23" s="42"/>
      <c r="D23" s="39"/>
      <c r="E23" s="39"/>
      <c r="F23" s="17"/>
      <c r="G23" s="17"/>
      <c r="H23" s="67"/>
      <c r="I23" s="68" t="n">
        <f aca="true">IFERROR(H23-TODAY(),"")</f>
        <v>-46165</v>
      </c>
      <c r="J23" s="31" t="n">
        <f aca="false">IFERROR(G23-F23,"")</f>
        <v>0</v>
      </c>
      <c r="K23" s="15" t="str">
        <f aca="false">IF(I23="","",IF(I23&lt;30,"⚠ Expiring",IF(I23&lt;90,"Watch","OK")))</f>
        <v>⚠ Expiring</v>
      </c>
    </row>
    <row r="24" customFormat="false" ht="15" hidden="false" customHeight="false" outlineLevel="0" collapsed="false">
      <c r="B24" s="12"/>
      <c r="C24" s="42"/>
      <c r="D24" s="39"/>
      <c r="E24" s="39"/>
      <c r="F24" s="17"/>
      <c r="G24" s="17"/>
      <c r="H24" s="67"/>
      <c r="I24" s="68" t="n">
        <f aca="true">IFERROR(H24-TODAY(),"")</f>
        <v>-46165</v>
      </c>
      <c r="J24" s="31" t="n">
        <f aca="false">IFERROR(G24-F24,"")</f>
        <v>0</v>
      </c>
      <c r="K24" s="15" t="str">
        <f aca="false">IF(I24="","",IF(I24&lt;30,"⚠ Expiring",IF(I24&lt;90,"Watch","OK")))</f>
        <v>⚠ Expiring</v>
      </c>
    </row>
    <row r="25" customFormat="false" ht="25.5" hidden="false" customHeight="true" outlineLevel="0" collapsed="false">
      <c r="B25" s="69" t="s">
        <v>248</v>
      </c>
      <c r="C25" s="69"/>
      <c r="D25" s="69"/>
      <c r="E25" s="69"/>
      <c r="F25" s="69"/>
      <c r="G25" s="69"/>
      <c r="H25" s="69"/>
      <c r="I25" s="69"/>
      <c r="J25" s="69"/>
      <c r="K25" s="69"/>
      <c r="L25" s="69"/>
    </row>
    <row r="26" customFormat="false" ht="18" hidden="false" customHeight="true" outlineLevel="0" collapsed="false">
      <c r="B26" s="8" t="s">
        <v>249</v>
      </c>
      <c r="C26" s="8"/>
      <c r="D26" s="8"/>
      <c r="E26" s="8"/>
      <c r="F26" s="8"/>
      <c r="G26" s="8"/>
      <c r="H26" s="8"/>
      <c r="I26" s="8"/>
      <c r="J26" s="8"/>
      <c r="K26" s="8"/>
      <c r="L26" s="8"/>
    </row>
    <row r="27" customFormat="false" ht="3" hidden="false" customHeight="true" outlineLevel="0" collapsed="false">
      <c r="B27" s="9"/>
      <c r="C27" s="9"/>
      <c r="D27" s="9"/>
      <c r="E27" s="9"/>
      <c r="F27" s="9"/>
      <c r="G27" s="9"/>
      <c r="H27" s="9"/>
      <c r="I27" s="9"/>
      <c r="J27" s="9"/>
      <c r="K27" s="9"/>
      <c r="L27" s="9"/>
    </row>
    <row r="29" customFormat="false" ht="24" hidden="false" customHeight="true" outlineLevel="0" collapsed="false">
      <c r="B29" s="10" t="s">
        <v>8</v>
      </c>
      <c r="C29" s="10" t="s">
        <v>100</v>
      </c>
      <c r="D29" s="10" t="s">
        <v>250</v>
      </c>
      <c r="E29" s="10" t="s">
        <v>251</v>
      </c>
      <c r="F29" s="10" t="s">
        <v>252</v>
      </c>
      <c r="G29" s="10" t="s">
        <v>253</v>
      </c>
      <c r="H29" s="10" t="s">
        <v>254</v>
      </c>
      <c r="I29" s="10" t="s">
        <v>255</v>
      </c>
      <c r="J29" s="10" t="s">
        <v>256</v>
      </c>
      <c r="K29" s="10" t="s">
        <v>257</v>
      </c>
      <c r="L29" s="11" t="s">
        <v>258</v>
      </c>
    </row>
    <row r="30" customFormat="false" ht="15" hidden="false" customHeight="false" outlineLevel="0" collapsed="false">
      <c r="B30" s="12" t="s">
        <v>259</v>
      </c>
      <c r="C30" s="42" t="s">
        <v>260</v>
      </c>
      <c r="D30" s="28" t="n">
        <v>44972</v>
      </c>
      <c r="E30" s="17" t="n">
        <v>52000</v>
      </c>
      <c r="F30" s="41" t="s">
        <v>261</v>
      </c>
      <c r="G30" s="58" t="n">
        <v>45703</v>
      </c>
      <c r="H30" s="65" t="n">
        <v>60</v>
      </c>
      <c r="I30" s="30" t="n">
        <v>6000</v>
      </c>
      <c r="J30" s="17" t="n">
        <v>39000</v>
      </c>
      <c r="K30" s="45"/>
      <c r="L30" s="41" t="s">
        <v>262</v>
      </c>
    </row>
    <row r="31" customFormat="false" ht="15" hidden="false" customHeight="false" outlineLevel="0" collapsed="false">
      <c r="B31" s="12" t="s">
        <v>259</v>
      </c>
      <c r="C31" s="42" t="s">
        <v>263</v>
      </c>
      <c r="D31" s="28" t="n">
        <v>45139</v>
      </c>
      <c r="E31" s="17" t="n">
        <v>5000</v>
      </c>
      <c r="F31" s="41" t="s">
        <v>264</v>
      </c>
      <c r="G31" s="58" t="n">
        <v>45689</v>
      </c>
      <c r="H31" s="65" t="n">
        <v>25</v>
      </c>
      <c r="I31" s="30" t="n">
        <v>2500</v>
      </c>
      <c r="J31" s="17" t="n">
        <v>0</v>
      </c>
      <c r="K31" s="45" t="s">
        <v>265</v>
      </c>
      <c r="L31" s="41" t="s">
        <v>266</v>
      </c>
    </row>
    <row r="32" customFormat="false" ht="15" hidden="false" customHeight="false" outlineLevel="0" collapsed="false">
      <c r="B32" s="12"/>
      <c r="C32" s="42"/>
      <c r="D32" s="28"/>
      <c r="E32" s="17"/>
      <c r="F32" s="41"/>
      <c r="G32" s="58"/>
      <c r="H32" s="65"/>
      <c r="I32" s="30"/>
      <c r="J32" s="17"/>
      <c r="K32" s="45"/>
      <c r="L32" s="41"/>
    </row>
    <row r="33" customFormat="false" ht="15" hidden="false" customHeight="false" outlineLevel="0" collapsed="false">
      <c r="B33" s="12"/>
      <c r="C33" s="42"/>
      <c r="D33" s="28"/>
      <c r="E33" s="17"/>
      <c r="F33" s="41"/>
      <c r="G33" s="58"/>
      <c r="H33" s="65"/>
      <c r="I33" s="30"/>
      <c r="J33" s="17"/>
      <c r="K33" s="45"/>
      <c r="L33" s="41"/>
    </row>
    <row r="34" customFormat="false" ht="15" hidden="false" customHeight="false" outlineLevel="0" collapsed="false">
      <c r="B34" s="12"/>
      <c r="C34" s="42"/>
      <c r="D34" s="28"/>
      <c r="E34" s="17"/>
      <c r="F34" s="41"/>
      <c r="G34" s="58"/>
      <c r="H34" s="65"/>
      <c r="I34" s="30"/>
      <c r="J34" s="17"/>
      <c r="K34" s="45"/>
      <c r="L34" s="41"/>
    </row>
    <row r="35" customFormat="false" ht="15" hidden="false" customHeight="false" outlineLevel="0" collapsed="false">
      <c r="B35" s="12"/>
      <c r="C35" s="42"/>
      <c r="D35" s="28"/>
      <c r="E35" s="17"/>
      <c r="F35" s="41"/>
      <c r="G35" s="58"/>
      <c r="H35" s="65"/>
      <c r="I35" s="30"/>
      <c r="J35" s="17"/>
      <c r="K35" s="45"/>
      <c r="L35" s="41"/>
    </row>
    <row r="36" customFormat="false" ht="15" hidden="false" customHeight="false" outlineLevel="0" collapsed="false">
      <c r="B36" s="12"/>
      <c r="C36" s="42"/>
      <c r="D36" s="28"/>
      <c r="E36" s="17"/>
      <c r="F36" s="41"/>
      <c r="G36" s="58"/>
      <c r="H36" s="65"/>
      <c r="I36" s="30"/>
      <c r="J36" s="17"/>
      <c r="K36" s="45"/>
      <c r="L36" s="41"/>
    </row>
    <row r="37" customFormat="false" ht="15" hidden="false" customHeight="false" outlineLevel="0" collapsed="false">
      <c r="B37" s="12"/>
      <c r="C37" s="42"/>
      <c r="D37" s="28"/>
      <c r="E37" s="17"/>
      <c r="F37" s="41"/>
      <c r="G37" s="58"/>
      <c r="H37" s="65"/>
      <c r="I37" s="30"/>
      <c r="J37" s="17"/>
      <c r="K37" s="45"/>
      <c r="L37" s="41"/>
    </row>
    <row r="38" customFormat="false" ht="15" hidden="false" customHeight="false" outlineLevel="0" collapsed="false">
      <c r="B38" s="12"/>
      <c r="C38" s="42"/>
      <c r="D38" s="28"/>
      <c r="E38" s="17"/>
      <c r="F38" s="41"/>
      <c r="G38" s="58"/>
      <c r="H38" s="65"/>
      <c r="I38" s="30"/>
      <c r="J38" s="17"/>
      <c r="K38" s="45"/>
      <c r="L38" s="41"/>
    </row>
    <row r="39" customFormat="false" ht="15" hidden="false" customHeight="false" outlineLevel="0" collapsed="false">
      <c r="B39" s="12"/>
      <c r="C39" s="42"/>
      <c r="D39" s="28"/>
      <c r="E39" s="17"/>
      <c r="F39" s="41"/>
      <c r="G39" s="58"/>
      <c r="H39" s="65"/>
      <c r="I39" s="30"/>
      <c r="J39" s="17"/>
      <c r="K39" s="45"/>
      <c r="L39" s="41"/>
    </row>
    <row r="40" customFormat="false" ht="15" hidden="false" customHeight="false" outlineLevel="0" collapsed="false">
      <c r="B40" s="12"/>
      <c r="C40" s="42"/>
      <c r="D40" s="28"/>
      <c r="E40" s="17"/>
      <c r="F40" s="41"/>
      <c r="G40" s="58"/>
      <c r="H40" s="65"/>
      <c r="I40" s="30"/>
      <c r="J40" s="17"/>
      <c r="K40" s="45"/>
      <c r="L40" s="41"/>
    </row>
    <row r="41" customFormat="false" ht="15" hidden="false" customHeight="false" outlineLevel="0" collapsed="false">
      <c r="B41" s="12"/>
      <c r="C41" s="42"/>
      <c r="D41" s="28"/>
      <c r="E41" s="17"/>
      <c r="F41" s="41"/>
      <c r="G41" s="58"/>
      <c r="H41" s="65"/>
      <c r="I41" s="30"/>
      <c r="J41" s="17"/>
      <c r="K41" s="45"/>
      <c r="L41" s="41"/>
    </row>
    <row r="42" customFormat="false" ht="15" hidden="false" customHeight="false" outlineLevel="0" collapsed="false">
      <c r="B42" s="12"/>
      <c r="C42" s="42"/>
      <c r="D42" s="28"/>
      <c r="E42" s="17"/>
      <c r="F42" s="41"/>
      <c r="G42" s="58"/>
      <c r="H42" s="65"/>
      <c r="I42" s="30"/>
      <c r="J42" s="17"/>
      <c r="K42" s="45"/>
      <c r="L42" s="41"/>
    </row>
    <row r="43" customFormat="false" ht="15" hidden="false" customHeight="false" outlineLevel="0" collapsed="false">
      <c r="B43" s="12"/>
      <c r="C43" s="42"/>
      <c r="D43" s="28"/>
      <c r="E43" s="17"/>
      <c r="F43" s="41"/>
      <c r="G43" s="58"/>
      <c r="H43" s="65"/>
      <c r="I43" s="30"/>
      <c r="J43" s="17"/>
      <c r="K43" s="45"/>
      <c r="L43" s="41"/>
    </row>
    <row r="46" customFormat="false" ht="31.5" hidden="false" customHeight="true" outlineLevel="0" collapsed="false">
      <c r="B46" s="22" t="s">
        <v>267</v>
      </c>
      <c r="C46" s="22"/>
      <c r="D46" s="22"/>
      <c r="E46" s="22"/>
      <c r="F46" s="22"/>
      <c r="G46" s="22"/>
      <c r="H46" s="22"/>
      <c r="I46" s="22"/>
      <c r="J46" s="22"/>
      <c r="K46" s="22"/>
      <c r="L46" s="22"/>
    </row>
    <row r="47" customFormat="false" ht="31.5" hidden="false" customHeight="true" outlineLevel="0" collapsed="false">
      <c r="B47" s="22"/>
      <c r="C47" s="22"/>
      <c r="D47" s="22"/>
      <c r="E47" s="22"/>
      <c r="F47" s="22"/>
      <c r="G47" s="22"/>
      <c r="H47" s="22"/>
      <c r="I47" s="22"/>
      <c r="J47" s="22"/>
      <c r="K47" s="22"/>
      <c r="L47" s="22"/>
    </row>
    <row r="50" customFormat="false" ht="3" hidden="false" customHeight="true" outlineLevel="0" collapsed="false">
      <c r="A50" s="9"/>
      <c r="B50" s="9"/>
      <c r="C50" s="9"/>
      <c r="D50" s="9"/>
      <c r="E50" s="9"/>
      <c r="F50" s="9"/>
      <c r="G50" s="9"/>
      <c r="H50" s="9"/>
      <c r="I50" s="9"/>
      <c r="J50" s="9"/>
      <c r="K50" s="9"/>
      <c r="L50" s="9"/>
      <c r="M50" s="9"/>
    </row>
    <row r="51" customFormat="false" ht="21.75" hidden="false" customHeight="true" outlineLevel="0" collapsed="false">
      <c r="A51" s="23" t="s">
        <v>49</v>
      </c>
      <c r="B51" s="23"/>
      <c r="C51" s="23"/>
      <c r="D51" s="23"/>
      <c r="E51" s="23"/>
      <c r="F51" s="23"/>
      <c r="G51" s="23"/>
      <c r="H51" s="23"/>
      <c r="I51" s="23"/>
      <c r="J51" s="23"/>
      <c r="K51" s="23"/>
      <c r="L51" s="23"/>
      <c r="M51" s="23"/>
    </row>
  </sheetData>
  <mergeCells count="21">
    <mergeCell ref="A1:C1"/>
    <mergeCell ref="D1:I1"/>
    <mergeCell ref="J1:M1"/>
    <mergeCell ref="A2:B2"/>
    <mergeCell ref="C2:D2"/>
    <mergeCell ref="E2:F2"/>
    <mergeCell ref="G2:H2"/>
    <mergeCell ref="I2:J2"/>
    <mergeCell ref="K2:M2"/>
    <mergeCell ref="A3:M3"/>
    <mergeCell ref="A4:M4"/>
    <mergeCell ref="B6:L6"/>
    <mergeCell ref="B7:L7"/>
    <mergeCell ref="B8:L8"/>
    <mergeCell ref="B9:L9"/>
    <mergeCell ref="B25:L25"/>
    <mergeCell ref="B26:L26"/>
    <mergeCell ref="B27:L27"/>
    <mergeCell ref="B46:L47"/>
    <mergeCell ref="A50:M50"/>
    <mergeCell ref="A51:M51"/>
  </mergeCells>
  <conditionalFormatting sqref="B6:L6">
    <cfRule type="containsText" priority="2" operator="containsText" aboveAverage="0" equalAverage="0" bottom="0" percent="0" rank="0" text="" dxfId="9">
      <formula>NOT(ISERROR(SEARCH("",B6)))</formula>
    </cfRule>
    <cfRule type="containsText" priority="3" operator="containsText" aboveAverage="0" equalAverage="0" bottom="0" percent="0" rank="0" text="" dxfId="10">
      <formula>NOT(ISERROR(SEARCH("",B6)))</formula>
    </cfRule>
  </conditionalFormatting>
  <dataValidations count="2">
    <dataValidation allowBlank="true" errorStyle="stop" operator="between" showDropDown="false" showErrorMessage="false" showInputMessage="false" sqref="C12:C25" type="list">
      <formula1>"Call,Put,Warrant"</formula1>
      <formula2>0</formula2>
    </dataValidation>
    <dataValidation allowBlank="true" errorStyle="stop" operator="between" showDropDown="false" showErrorMessage="false" showInputMessage="false" sqref="C30:C43" type="list">
      <formula1>"RSU,ESPP,ISO,NSO"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33"/>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12" min="3" style="0" width="12"/>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268</v>
      </c>
      <c r="K1" s="3"/>
      <c r="L1" s="3"/>
      <c r="M1" s="3"/>
    </row>
    <row r="2" customFormat="false" ht="54" hidden="false" customHeight="true" outlineLevel="0" collapsed="false">
      <c r="A2" s="4" t="str">
        <f aca="false">"1yr TWR"&amp;CHAR(10)&amp;(TEXT(IFERROR(C12,0),"+0.0%;-0.0%"))</f>
        <v>1yr TWR
+10.8%</v>
      </c>
      <c r="B2" s="4"/>
      <c r="C2" s="4" t="str">
        <f aca="false">"3yr CAGR"&amp;CHAR(10)&amp;(TEXT(IFERROR(D12,0),"+0.0%;-0.0%"))</f>
        <v>3yr CAGR
+7.8%</v>
      </c>
      <c r="D2" s="4"/>
      <c r="E2" s="4" t="str">
        <f aca="false">"5yr CAGR"&amp;CHAR(10)&amp;(TEXT(IFERROR(E12,0),"+0.0%;-0.0%"))</f>
        <v>5yr CAGR
+10.5%</v>
      </c>
      <c r="F2" s="4"/>
      <c r="G2" s="4" t="str">
        <f aca="false">"INCEPTION"&amp;CHAR(10)&amp;(TEXT(IFERROR(G12,0),"+0.0%;-0.0%"))</f>
        <v>INCEPTION
+8.0%</v>
      </c>
      <c r="H2" s="4"/>
      <c r="I2" s="38" t="s">
        <v>269</v>
      </c>
      <c r="J2" s="38"/>
      <c r="K2" s="4" t="str">
        <f aca="false">"vs BENCH"&amp;CHAR(10)&amp;(TEXT(IFERROR(C12-C13,0),"+0.0%;-0.0%"))</f>
        <v>vs BENCH
+1.4%</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270</v>
      </c>
      <c r="B4" s="6"/>
      <c r="C4" s="6"/>
      <c r="D4" s="6"/>
      <c r="E4" s="6"/>
      <c r="F4" s="6"/>
      <c r="G4" s="6"/>
      <c r="H4" s="6"/>
      <c r="I4" s="6"/>
      <c r="J4" s="6"/>
      <c r="K4" s="6"/>
      <c r="L4" s="6"/>
      <c r="M4" s="6"/>
    </row>
    <row r="6" customFormat="false" ht="25.5" hidden="false" customHeight="true" outlineLevel="0" collapsed="false">
      <c r="B6" s="7" t="s">
        <v>271</v>
      </c>
      <c r="C6" s="7"/>
      <c r="D6" s="7"/>
      <c r="E6" s="7"/>
      <c r="F6" s="7"/>
      <c r="G6" s="7"/>
      <c r="H6" s="7"/>
      <c r="I6" s="7"/>
      <c r="J6" s="7"/>
      <c r="K6" s="7"/>
      <c r="L6" s="7"/>
    </row>
    <row r="7" customFormat="false" ht="18" hidden="false" customHeight="true" outlineLevel="0" collapsed="false">
      <c r="B7" s="8" t="s">
        <v>272</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273</v>
      </c>
      <c r="C10" s="10" t="s">
        <v>274</v>
      </c>
      <c r="D10" s="10" t="s">
        <v>275</v>
      </c>
      <c r="E10" s="10" t="s">
        <v>276</v>
      </c>
      <c r="F10" s="10" t="s">
        <v>277</v>
      </c>
      <c r="G10" s="10" t="s">
        <v>278</v>
      </c>
      <c r="H10" s="10" t="s">
        <v>279</v>
      </c>
      <c r="I10" s="11" t="s">
        <v>280</v>
      </c>
    </row>
    <row r="11" customFormat="false" ht="15" hidden="false" customHeight="false" outlineLevel="0" collapsed="false">
      <c r="B11" s="70" t="s">
        <v>281</v>
      </c>
      <c r="C11" s="20" t="n">
        <v>0.124</v>
      </c>
      <c r="D11" s="20" t="n">
        <v>0.085</v>
      </c>
      <c r="E11" s="20" t="n">
        <v>0.092</v>
      </c>
      <c r="F11" s="20" t="n">
        <v>0.095</v>
      </c>
      <c r="G11" s="20" t="n">
        <v>0.086</v>
      </c>
      <c r="H11" s="20" t="n">
        <v>0.108</v>
      </c>
      <c r="I11" s="20" t="n">
        <v>0.105</v>
      </c>
    </row>
    <row r="12" customFormat="false" ht="15" hidden="false" customHeight="false" outlineLevel="0" collapsed="false">
      <c r="B12" s="71" t="s">
        <v>282</v>
      </c>
      <c r="C12" s="32" t="n">
        <v>0.108</v>
      </c>
      <c r="D12" s="32" t="n">
        <v>0.078</v>
      </c>
      <c r="E12" s="32" t="n">
        <v>0.105</v>
      </c>
      <c r="F12" s="32" t="n">
        <v>0.122</v>
      </c>
      <c r="G12" s="32" t="n">
        <v>0.08</v>
      </c>
      <c r="H12" s="32" t="n">
        <v>0.098</v>
      </c>
      <c r="I12" s="32"/>
    </row>
    <row r="13" customFormat="false" ht="15" hidden="false" customHeight="false" outlineLevel="0" collapsed="false">
      <c r="B13" s="71" t="s">
        <v>283</v>
      </c>
      <c r="C13" s="32" t="n">
        <v>0.094</v>
      </c>
      <c r="D13" s="32" t="n">
        <v>0.072</v>
      </c>
      <c r="E13" s="32" t="n">
        <v>0.088</v>
      </c>
      <c r="F13" s="32" t="n">
        <v>0.095</v>
      </c>
      <c r="G13" s="32" t="n">
        <v>0.071</v>
      </c>
      <c r="H13" s="32" t="n">
        <v>0.082</v>
      </c>
      <c r="I13" s="32"/>
    </row>
    <row r="14" customFormat="false" ht="15" hidden="false" customHeight="false" outlineLevel="0" collapsed="false">
      <c r="B14" s="71" t="s">
        <v>284</v>
      </c>
      <c r="C14" s="32" t="n">
        <v>0.082</v>
      </c>
      <c r="D14" s="32" t="n">
        <v>0.058</v>
      </c>
      <c r="E14" s="32" t="n">
        <v>0.065</v>
      </c>
      <c r="F14" s="32" t="n">
        <v>0.072</v>
      </c>
      <c r="G14" s="32" t="n">
        <v>0.061</v>
      </c>
      <c r="H14" s="32" t="n">
        <v>0.071</v>
      </c>
      <c r="I14" s="32"/>
    </row>
    <row r="15" customFormat="false" ht="15" hidden="false" customHeight="false" outlineLevel="0" collapsed="false">
      <c r="B15" s="72" t="s">
        <v>285</v>
      </c>
      <c r="C15" s="37" t="n">
        <f aca="false">C11-C12</f>
        <v>0.016</v>
      </c>
      <c r="D15" s="37" t="n">
        <f aca="false">D11-D12</f>
        <v>0.00700000000000001</v>
      </c>
      <c r="E15" s="37" t="n">
        <f aca="false">E11-E12</f>
        <v>-0.013</v>
      </c>
      <c r="F15" s="37" t="n">
        <f aca="false">F11-F12</f>
        <v>-0.027</v>
      </c>
      <c r="G15" s="37" t="n">
        <f aca="false">G11-G12</f>
        <v>0.00599999999999999</v>
      </c>
      <c r="H15" s="37" t="n">
        <f aca="false">H11-H12</f>
        <v>0.01</v>
      </c>
    </row>
    <row r="18" customFormat="false" ht="31.5" hidden="false" customHeight="true" outlineLevel="0" collapsed="false">
      <c r="B18" s="22" t="s">
        <v>286</v>
      </c>
      <c r="C18" s="22"/>
      <c r="D18" s="22"/>
      <c r="E18" s="22"/>
      <c r="F18" s="22"/>
      <c r="G18" s="22"/>
      <c r="H18" s="22"/>
      <c r="I18" s="22"/>
      <c r="J18" s="22"/>
      <c r="K18" s="22"/>
      <c r="L18" s="22"/>
    </row>
    <row r="19" customFormat="false" ht="31.5" hidden="false" customHeight="true" outlineLevel="0" collapsed="false">
      <c r="B19" s="22"/>
      <c r="C19" s="22"/>
      <c r="D19" s="22"/>
      <c r="E19" s="22"/>
      <c r="F19" s="22"/>
      <c r="G19" s="22"/>
      <c r="H19" s="22"/>
      <c r="I19" s="22"/>
      <c r="J19" s="22"/>
      <c r="K19" s="22"/>
      <c r="L19" s="22"/>
    </row>
    <row r="23" customFormat="false" ht="3" hidden="false" customHeight="true" outlineLevel="0" collapsed="false">
      <c r="A23" s="9"/>
      <c r="B23" s="9"/>
      <c r="C23" s="9"/>
      <c r="D23" s="9"/>
      <c r="E23" s="9"/>
      <c r="F23" s="9"/>
      <c r="G23" s="9"/>
      <c r="H23" s="9"/>
      <c r="I23" s="9"/>
      <c r="J23" s="9"/>
      <c r="K23" s="9"/>
      <c r="L23" s="9"/>
      <c r="M23" s="9"/>
    </row>
    <row r="24" customFormat="false" ht="21.75" hidden="false" customHeight="true" outlineLevel="0" collapsed="false">
      <c r="A24" s="23" t="s">
        <v>49</v>
      </c>
      <c r="B24" s="23"/>
      <c r="C24" s="23"/>
      <c r="D24" s="23"/>
      <c r="E24" s="23"/>
      <c r="F24" s="23"/>
      <c r="G24" s="23"/>
      <c r="H24" s="23"/>
      <c r="I24" s="23"/>
      <c r="J24" s="23"/>
      <c r="K24" s="23"/>
      <c r="L24" s="23"/>
      <c r="M24"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18:L19"/>
    <mergeCell ref="A23:M23"/>
    <mergeCell ref="A24:M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33"/>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11" min="3" style="0" width="14"/>
    <col collapsed="false" customWidth="true" hidden="false" outlineLevel="0" max="12" min="12" style="0" width="12"/>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287</v>
      </c>
      <c r="K1" s="3"/>
      <c r="L1" s="3"/>
      <c r="M1" s="3"/>
    </row>
    <row r="2" customFormat="false" ht="54" hidden="false" customHeight="true" outlineLevel="0" collapsed="false">
      <c r="A2" s="4" t="str">
        <f aca="false">"SHARPE"&amp;CHAR(10)&amp;(TEXT(IFERROR(C9,0),"0.00"))</f>
        <v>SHARPE
0.00</v>
      </c>
      <c r="B2" s="4"/>
      <c r="C2" s="4" t="str">
        <f aca="false">"BETA"&amp;CHAR(10)&amp;(TEXT(IFERROR(C12,0),"0.00"))</f>
        <v>BETA
0.00</v>
      </c>
      <c r="D2" s="4"/>
      <c r="E2" s="4" t="str">
        <f aca="false">"MAX DRAWDOWN"&amp;CHAR(10)&amp;(TEXT(IFERROR(C15,0),"0.0%"))</f>
        <v>MAX DRAWDOWN
0.0%</v>
      </c>
      <c r="F2" s="4"/>
      <c r="G2" s="4" t="str">
        <f aca="false">"ANN VOLATILITY"&amp;CHAR(10)&amp;(TEXT(IFERROR(C18,0),"0.0%"))</f>
        <v>ANN VOLATILITY
0.0%</v>
      </c>
      <c r="H2" s="4"/>
      <c r="I2" s="38" t="s">
        <v>269</v>
      </c>
      <c r="J2" s="38"/>
      <c r="K2" s="38" t="s">
        <v>288</v>
      </c>
      <c r="L2" s="38"/>
      <c r="M2" s="38"/>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289</v>
      </c>
      <c r="B4" s="6"/>
      <c r="C4" s="6"/>
      <c r="D4" s="6"/>
      <c r="E4" s="6"/>
      <c r="F4" s="6"/>
      <c r="G4" s="6"/>
      <c r="H4" s="6"/>
      <c r="I4" s="6"/>
      <c r="J4" s="6"/>
      <c r="K4" s="6"/>
      <c r="L4" s="6"/>
      <c r="M4" s="6"/>
    </row>
    <row r="6" customFormat="false" ht="25.5" hidden="false" customHeight="true" outlineLevel="0" collapsed="false">
      <c r="B6" s="7" t="s">
        <v>290</v>
      </c>
      <c r="C6" s="7"/>
      <c r="D6" s="7"/>
      <c r="E6" s="7"/>
      <c r="F6" s="7"/>
      <c r="G6" s="7"/>
      <c r="H6" s="7"/>
      <c r="I6" s="7"/>
      <c r="J6" s="7"/>
      <c r="K6" s="7"/>
      <c r="L6" s="7"/>
    </row>
    <row r="7" customFormat="false" ht="18" hidden="false" customHeight="true" outlineLevel="0" collapsed="false">
      <c r="B7" s="8" t="s">
        <v>291</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1" customFormat="false" ht="21.75" hidden="false" customHeight="true" outlineLevel="0" collapsed="false">
      <c r="B11" s="73" t="s">
        <v>292</v>
      </c>
      <c r="C11" s="73"/>
      <c r="D11" s="73"/>
      <c r="E11" s="73"/>
      <c r="F11" s="73"/>
      <c r="G11" s="73" t="s">
        <v>293</v>
      </c>
      <c r="H11" s="73"/>
      <c r="I11" s="73"/>
      <c r="J11" s="73"/>
      <c r="K11" s="73"/>
    </row>
    <row r="12" customFormat="false" ht="55.5" hidden="false" customHeight="true" outlineLevel="0" collapsed="false">
      <c r="B12" s="74" t="n">
        <v>1.18</v>
      </c>
      <c r="C12" s="74"/>
      <c r="D12" s="74"/>
      <c r="E12" s="74"/>
      <c r="F12" s="74"/>
      <c r="G12" s="74" t="n">
        <v>1.05</v>
      </c>
      <c r="H12" s="74"/>
      <c r="I12" s="74"/>
      <c r="J12" s="74"/>
      <c r="K12" s="74"/>
    </row>
    <row r="13" customFormat="false" ht="15" hidden="false" customHeight="false" outlineLevel="0" collapsed="false">
      <c r="B13" s="75" t="s">
        <v>294</v>
      </c>
      <c r="C13" s="75"/>
      <c r="D13" s="75"/>
      <c r="E13" s="75"/>
      <c r="F13" s="75"/>
      <c r="G13" s="75" t="s">
        <v>295</v>
      </c>
      <c r="H13" s="75"/>
      <c r="I13" s="75"/>
      <c r="J13" s="75"/>
      <c r="K13" s="75"/>
    </row>
    <row r="14" customFormat="false" ht="36" hidden="false" customHeight="true" outlineLevel="0" collapsed="false">
      <c r="B14" s="76" t="s">
        <v>296</v>
      </c>
      <c r="C14" s="76"/>
      <c r="D14" s="76"/>
      <c r="E14" s="76"/>
      <c r="F14" s="76"/>
      <c r="G14" s="76" t="s">
        <v>297</v>
      </c>
      <c r="H14" s="76"/>
      <c r="I14" s="76"/>
      <c r="J14" s="76"/>
      <c r="K14" s="76"/>
    </row>
    <row r="17" customFormat="false" ht="21.75" hidden="false" customHeight="true" outlineLevel="0" collapsed="false">
      <c r="B17" s="73" t="s">
        <v>298</v>
      </c>
      <c r="C17" s="73"/>
      <c r="D17" s="73"/>
      <c r="E17" s="73"/>
      <c r="F17" s="73"/>
      <c r="G17" s="73" t="s">
        <v>299</v>
      </c>
      <c r="H17" s="73"/>
      <c r="I17" s="73"/>
      <c r="J17" s="73"/>
      <c r="K17" s="73"/>
    </row>
    <row r="18" customFormat="false" ht="55.5" hidden="false" customHeight="true" outlineLevel="0" collapsed="false">
      <c r="B18" s="77" t="n">
        <v>-0.184</v>
      </c>
      <c r="C18" s="77"/>
      <c r="D18" s="77"/>
      <c r="E18" s="77"/>
      <c r="F18" s="77"/>
      <c r="G18" s="77" t="n">
        <v>0.145</v>
      </c>
      <c r="H18" s="77"/>
      <c r="I18" s="77"/>
      <c r="J18" s="77"/>
      <c r="K18" s="77"/>
    </row>
    <row r="19" customFormat="false" ht="15" hidden="false" customHeight="false" outlineLevel="0" collapsed="false">
      <c r="B19" s="75" t="s">
        <v>300</v>
      </c>
      <c r="C19" s="75"/>
      <c r="D19" s="75"/>
      <c r="E19" s="75"/>
      <c r="F19" s="75"/>
      <c r="G19" s="75" t="s">
        <v>301</v>
      </c>
      <c r="H19" s="75"/>
      <c r="I19" s="75"/>
      <c r="J19" s="75"/>
      <c r="K19" s="75"/>
    </row>
    <row r="20" customFormat="false" ht="36" hidden="false" customHeight="true" outlineLevel="0" collapsed="false">
      <c r="B20" s="76" t="s">
        <v>302</v>
      </c>
      <c r="C20" s="76"/>
      <c r="D20" s="76"/>
      <c r="E20" s="76"/>
      <c r="F20" s="76"/>
      <c r="G20" s="76" t="s">
        <v>303</v>
      </c>
      <c r="H20" s="76"/>
      <c r="I20" s="76"/>
      <c r="J20" s="76"/>
      <c r="K20" s="76"/>
    </row>
    <row r="23" customFormat="false" ht="31.5" hidden="false" customHeight="true" outlineLevel="0" collapsed="false">
      <c r="B23" s="22" t="s">
        <v>304</v>
      </c>
      <c r="C23" s="22"/>
      <c r="D23" s="22"/>
      <c r="E23" s="22"/>
      <c r="F23" s="22"/>
      <c r="G23" s="22"/>
      <c r="H23" s="22"/>
      <c r="I23" s="22"/>
      <c r="J23" s="22"/>
      <c r="K23" s="22"/>
      <c r="L23" s="22"/>
    </row>
    <row r="24" customFormat="false" ht="31.5" hidden="false" customHeight="true" outlineLevel="0" collapsed="false">
      <c r="B24" s="22"/>
      <c r="C24" s="22"/>
      <c r="D24" s="22"/>
      <c r="E24" s="22"/>
      <c r="F24" s="22"/>
      <c r="G24" s="22"/>
      <c r="H24" s="22"/>
      <c r="I24" s="22"/>
      <c r="J24" s="22"/>
      <c r="K24" s="22"/>
      <c r="L24" s="22"/>
    </row>
    <row r="28" customFormat="false" ht="3" hidden="false" customHeight="true" outlineLevel="0" collapsed="false">
      <c r="A28" s="9"/>
      <c r="B28" s="9"/>
      <c r="C28" s="9"/>
      <c r="D28" s="9"/>
      <c r="E28" s="9"/>
      <c r="F28" s="9"/>
      <c r="G28" s="9"/>
      <c r="H28" s="9"/>
      <c r="I28" s="9"/>
      <c r="J28" s="9"/>
      <c r="K28" s="9"/>
      <c r="L28" s="9"/>
      <c r="M28" s="9"/>
    </row>
    <row r="29" customFormat="false" ht="21.75" hidden="false" customHeight="true" outlineLevel="0" collapsed="false">
      <c r="A29" s="23" t="s">
        <v>49</v>
      </c>
      <c r="B29" s="23"/>
      <c r="C29" s="23"/>
      <c r="D29" s="23"/>
      <c r="E29" s="23"/>
      <c r="F29" s="23"/>
      <c r="G29" s="23"/>
      <c r="H29" s="23"/>
      <c r="I29" s="23"/>
      <c r="J29" s="23"/>
      <c r="K29" s="23"/>
      <c r="L29" s="23"/>
      <c r="M29" s="23"/>
    </row>
  </sheetData>
  <mergeCells count="33">
    <mergeCell ref="A1:C1"/>
    <mergeCell ref="D1:I1"/>
    <mergeCell ref="J1:M1"/>
    <mergeCell ref="A2:B2"/>
    <mergeCell ref="C2:D2"/>
    <mergeCell ref="E2:F2"/>
    <mergeCell ref="G2:H2"/>
    <mergeCell ref="I2:J2"/>
    <mergeCell ref="K2:M2"/>
    <mergeCell ref="A3:M3"/>
    <mergeCell ref="A4:M4"/>
    <mergeCell ref="B6:L6"/>
    <mergeCell ref="B7:L7"/>
    <mergeCell ref="B8:L8"/>
    <mergeCell ref="B11:F11"/>
    <mergeCell ref="G11:K11"/>
    <mergeCell ref="B12:F12"/>
    <mergeCell ref="G12:K12"/>
    <mergeCell ref="B13:F13"/>
    <mergeCell ref="G13:K13"/>
    <mergeCell ref="B14:F14"/>
    <mergeCell ref="G14:K14"/>
    <mergeCell ref="B17:F17"/>
    <mergeCell ref="G17:K17"/>
    <mergeCell ref="B18:F18"/>
    <mergeCell ref="G18:K18"/>
    <mergeCell ref="B19:F19"/>
    <mergeCell ref="G19:K19"/>
    <mergeCell ref="B20:F20"/>
    <mergeCell ref="G20:K20"/>
    <mergeCell ref="B23:L24"/>
    <mergeCell ref="A28:M28"/>
    <mergeCell ref="A29:M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14A"/>
    <pageSetUpPr fitToPage="false"/>
  </sheetPr>
  <dimension ref="A1:M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1"/>
    <col collapsed="false" customWidth="true" hidden="false" outlineLevel="0" max="4" min="4" style="0" width="10"/>
    <col collapsed="false" customWidth="true" hidden="false" outlineLevel="0" max="8" min="5" style="0" width="11"/>
    <col collapsed="false" customWidth="true" hidden="false" outlineLevel="0" max="9" min="9" style="0" width="12"/>
    <col collapsed="false" customWidth="true" hidden="false" outlineLevel="0" max="10" min="10" style="0" width="11"/>
    <col collapsed="false" customWidth="true" hidden="false" outlineLevel="0" max="11" min="11" style="0" width="10"/>
    <col collapsed="false" customWidth="true" hidden="false" outlineLevel="0" max="12" min="12" style="0" width="14"/>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305</v>
      </c>
      <c r="K1" s="3"/>
      <c r="L1" s="3"/>
      <c r="M1" s="3"/>
    </row>
    <row r="2" customFormat="false" ht="54" hidden="false" customHeight="true" outlineLevel="0" collapsed="false">
      <c r="A2" s="4" t="str">
        <f aca="false">"LOTS"&amp;CHAR(10)&amp;(COUNTA(B9:B40))</f>
        <v>LOTS
6</v>
      </c>
      <c r="B2" s="4"/>
      <c r="C2" s="4" t="str">
        <f aca="false">"LONG-TERM"&amp;CHAR(10)&amp;(COUNTIF(K9:K40,"Long-term"))</f>
        <v>LONG-TERM
30</v>
      </c>
      <c r="D2" s="4"/>
      <c r="E2" s="4" t="str">
        <f aca="false">"SHORT-TERM"&amp;CHAR(10)&amp;(COUNTIF(K9:K40,"Short-term"))</f>
        <v>SHORT-TERM
0</v>
      </c>
      <c r="F2" s="4"/>
      <c r="G2" s="4" t="str">
        <f aca="false">"UNREALIZED"&amp;CHAR(10)&amp;(TEXT(SUM(J9:J40),"+$#,##0;-$#,##0"))</f>
        <v>UNREALIZED
+$21,035</v>
      </c>
      <c r="H2" s="4"/>
      <c r="I2" s="4" t="str">
        <f aca="false">"REGION"&amp;CHAR(10)&amp;(IFERROR(L8,"US"))</f>
        <v>REGION
</v>
      </c>
      <c r="J2" s="4"/>
      <c r="K2" s="38" t="s">
        <v>306</v>
      </c>
      <c r="L2" s="38"/>
      <c r="M2" s="38"/>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307</v>
      </c>
      <c r="B4" s="6"/>
      <c r="C4" s="6"/>
      <c r="D4" s="6"/>
      <c r="E4" s="6"/>
      <c r="F4" s="6"/>
      <c r="G4" s="6"/>
      <c r="H4" s="6"/>
      <c r="I4" s="6"/>
      <c r="J4" s="6"/>
      <c r="K4" s="6"/>
      <c r="L4" s="6"/>
      <c r="M4" s="6"/>
    </row>
    <row r="6" customFormat="false" ht="25.5" hidden="false" customHeight="true" outlineLevel="0" collapsed="false">
      <c r="B6" s="7" t="s">
        <v>308</v>
      </c>
      <c r="C6" s="7"/>
      <c r="D6" s="7"/>
      <c r="E6" s="7"/>
      <c r="F6" s="7"/>
      <c r="G6" s="7"/>
      <c r="H6" s="7"/>
      <c r="I6" s="7"/>
      <c r="J6" s="7"/>
      <c r="K6" s="7"/>
      <c r="L6" s="7"/>
    </row>
    <row r="7" customFormat="false" ht="18" hidden="false" customHeight="true" outlineLevel="0" collapsed="false">
      <c r="B7" s="8" t="s">
        <v>309</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8</v>
      </c>
      <c r="C10" s="10" t="s">
        <v>310</v>
      </c>
      <c r="D10" s="10" t="s">
        <v>101</v>
      </c>
      <c r="E10" s="10" t="s">
        <v>102</v>
      </c>
      <c r="F10" s="10" t="s">
        <v>105</v>
      </c>
      <c r="G10" s="10" t="s">
        <v>164</v>
      </c>
      <c r="H10" s="10" t="s">
        <v>311</v>
      </c>
      <c r="I10" s="10" t="s">
        <v>312</v>
      </c>
      <c r="J10" s="10" t="s">
        <v>313</v>
      </c>
      <c r="K10" s="10" t="s">
        <v>314</v>
      </c>
      <c r="L10" s="10" t="s">
        <v>315</v>
      </c>
    </row>
    <row r="11" customFormat="false" ht="16.9" hidden="false" customHeight="false" outlineLevel="0" collapsed="false">
      <c r="B11" s="12" t="s">
        <v>55</v>
      </c>
      <c r="C11" s="28" t="n">
        <v>45092</v>
      </c>
      <c r="D11" s="65" t="n">
        <v>150</v>
      </c>
      <c r="E11" s="27" t="n">
        <v>185.4</v>
      </c>
      <c r="F11" s="17" t="n">
        <f aca="false">IFERROR(D11*E11,"")</f>
        <v>27810</v>
      </c>
      <c r="G11" s="29" t="n">
        <v>245</v>
      </c>
      <c r="H11" s="30" t="n">
        <f aca="false">IFERROR(D11*G11,"")</f>
        <v>36750</v>
      </c>
      <c r="I11" s="78" t="n">
        <f aca="true">IFERROR(TODAY()-C11,"")</f>
        <v>1073</v>
      </c>
      <c r="J11" s="31" t="n">
        <f aca="false">IFERROR(H11-F11,"")</f>
        <v>8940</v>
      </c>
      <c r="K11" s="15" t="str">
        <f aca="false">IF(I11="","",IF(I11&gt;365,"Long-term","Short-term"))</f>
        <v>Long-term</v>
      </c>
      <c r="L11" s="60"/>
    </row>
    <row r="12" customFormat="false" ht="16.9" hidden="false" customHeight="false" outlineLevel="0" collapsed="false">
      <c r="B12" s="12" t="s">
        <v>55</v>
      </c>
      <c r="C12" s="28" t="n">
        <v>45313</v>
      </c>
      <c r="D12" s="65" t="n">
        <v>100</v>
      </c>
      <c r="E12" s="27" t="n">
        <v>210</v>
      </c>
      <c r="F12" s="17" t="n">
        <f aca="false">IFERROR(D12*E12,"")</f>
        <v>21000</v>
      </c>
      <c r="G12" s="29" t="n">
        <v>245</v>
      </c>
      <c r="H12" s="30" t="n">
        <f aca="false">IFERROR(D12*G12,"")</f>
        <v>24500</v>
      </c>
      <c r="I12" s="78" t="n">
        <f aca="true">IFERROR(TODAY()-C12,"")</f>
        <v>852</v>
      </c>
      <c r="J12" s="31" t="n">
        <f aca="false">IFERROR(H12-F12,"")</f>
        <v>3500</v>
      </c>
      <c r="K12" s="15" t="str">
        <f aca="false">IF(I12="","",IF(I12&gt;365,"Long-term","Short-term"))</f>
        <v>Long-term</v>
      </c>
      <c r="L12" s="60"/>
    </row>
    <row r="13" customFormat="false" ht="16.9" hidden="false" customHeight="false" outlineLevel="0" collapsed="false">
      <c r="B13" s="12" t="s">
        <v>55</v>
      </c>
      <c r="C13" s="28" t="n">
        <v>45519</v>
      </c>
      <c r="D13" s="65" t="n">
        <v>100</v>
      </c>
      <c r="E13" s="27" t="n">
        <v>232</v>
      </c>
      <c r="F13" s="17" t="n">
        <f aca="false">IFERROR(D13*E13,"")</f>
        <v>23200</v>
      </c>
      <c r="G13" s="29" t="n">
        <v>245</v>
      </c>
      <c r="H13" s="30" t="n">
        <f aca="false">IFERROR(D13*G13,"")</f>
        <v>24500</v>
      </c>
      <c r="I13" s="78" t="n">
        <f aca="true">IFERROR(TODAY()-C13,"")</f>
        <v>646</v>
      </c>
      <c r="J13" s="31" t="n">
        <f aca="false">IFERROR(H13-F13,"")</f>
        <v>1300</v>
      </c>
      <c r="K13" s="15" t="str">
        <f aca="false">IF(I13="","",IF(I13&gt;365,"Long-term","Short-term"))</f>
        <v>Long-term</v>
      </c>
      <c r="L13" s="60"/>
    </row>
    <row r="14" customFormat="false" ht="16.9" hidden="false" customHeight="false" outlineLevel="0" collapsed="false">
      <c r="B14" s="12" t="s">
        <v>89</v>
      </c>
      <c r="C14" s="28" t="n">
        <v>44870</v>
      </c>
      <c r="D14" s="65" t="n">
        <v>80</v>
      </c>
      <c r="E14" s="27" t="n">
        <v>128</v>
      </c>
      <c r="F14" s="17" t="n">
        <f aca="false">IFERROR(D14*E14,"")</f>
        <v>10240</v>
      </c>
      <c r="G14" s="29" t="n">
        <v>182</v>
      </c>
      <c r="H14" s="30" t="n">
        <f aca="false">IFERROR(D14*G14,"")</f>
        <v>14560</v>
      </c>
      <c r="I14" s="78" t="n">
        <f aca="true">IFERROR(TODAY()-C14,"")</f>
        <v>1295</v>
      </c>
      <c r="J14" s="31" t="n">
        <f aca="false">IFERROR(H14-F14,"")</f>
        <v>4320</v>
      </c>
      <c r="K14" s="15" t="str">
        <f aca="false">IF(I14="","",IF(I14&gt;365,"Long-term","Short-term"))</f>
        <v>Long-term</v>
      </c>
      <c r="L14" s="60"/>
    </row>
    <row r="15" customFormat="false" ht="16.9" hidden="false" customHeight="false" outlineLevel="0" collapsed="false">
      <c r="B15" s="12" t="s">
        <v>91</v>
      </c>
      <c r="C15" s="28" t="n">
        <v>44995</v>
      </c>
      <c r="D15" s="65" t="n">
        <v>70</v>
      </c>
      <c r="E15" s="27" t="n">
        <v>105.5</v>
      </c>
      <c r="F15" s="17" t="n">
        <f aca="false">IFERROR(D15*E15,"")</f>
        <v>7385</v>
      </c>
      <c r="G15" s="29" t="n">
        <v>148</v>
      </c>
      <c r="H15" s="30" t="n">
        <f aca="false">IFERROR(D15*G15,"")</f>
        <v>10360</v>
      </c>
      <c r="I15" s="78" t="n">
        <f aca="true">IFERROR(TODAY()-C15,"")</f>
        <v>1170</v>
      </c>
      <c r="J15" s="31" t="n">
        <f aca="false">IFERROR(H15-F15,"")</f>
        <v>2975</v>
      </c>
      <c r="K15" s="15" t="str">
        <f aca="false">IF(I15="","",IF(I15&gt;365,"Long-term","Short-term"))</f>
        <v>Long-term</v>
      </c>
      <c r="L15" s="60"/>
    </row>
    <row r="16" customFormat="false" ht="16.9" hidden="false" customHeight="false" outlineLevel="0" collapsed="false">
      <c r="B16" s="12"/>
      <c r="C16" s="28"/>
      <c r="D16" s="65"/>
      <c r="E16" s="27"/>
      <c r="F16" s="17" t="n">
        <f aca="false">IFERROR(D16*E16,"")</f>
        <v>0</v>
      </c>
      <c r="G16" s="29"/>
      <c r="H16" s="30" t="n">
        <f aca="false">IFERROR(D16*G16,"")</f>
        <v>0</v>
      </c>
      <c r="I16" s="78" t="n">
        <f aca="true">IFERROR(TODAY()-C16,"")</f>
        <v>46165</v>
      </c>
      <c r="J16" s="31" t="n">
        <f aca="false">IFERROR(H16-F16,"")</f>
        <v>0</v>
      </c>
      <c r="K16" s="15" t="str">
        <f aca="false">IF(I16="","",IF(I16&gt;365,"Long-term","Short-term"))</f>
        <v>Long-term</v>
      </c>
      <c r="L16" s="60"/>
    </row>
    <row r="17" customFormat="false" ht="16.9" hidden="false" customHeight="false" outlineLevel="0" collapsed="false">
      <c r="B17" s="12"/>
      <c r="C17" s="28"/>
      <c r="D17" s="65"/>
      <c r="E17" s="27"/>
      <c r="F17" s="17" t="n">
        <f aca="false">IFERROR(D17*E17,"")</f>
        <v>0</v>
      </c>
      <c r="G17" s="29"/>
      <c r="H17" s="30" t="n">
        <f aca="false">IFERROR(D17*G17,"")</f>
        <v>0</v>
      </c>
      <c r="I17" s="78" t="n">
        <f aca="true">IFERROR(TODAY()-C17,"")</f>
        <v>46165</v>
      </c>
      <c r="J17" s="31" t="n">
        <f aca="false">IFERROR(H17-F17,"")</f>
        <v>0</v>
      </c>
      <c r="K17" s="15" t="str">
        <f aca="false">IF(I17="","",IF(I17&gt;365,"Long-term","Short-term"))</f>
        <v>Long-term</v>
      </c>
      <c r="L17" s="60"/>
    </row>
    <row r="18" customFormat="false" ht="16.9" hidden="false" customHeight="false" outlineLevel="0" collapsed="false">
      <c r="B18" s="12"/>
      <c r="C18" s="28"/>
      <c r="D18" s="65"/>
      <c r="E18" s="27"/>
      <c r="F18" s="17" t="n">
        <f aca="false">IFERROR(D18*E18,"")</f>
        <v>0</v>
      </c>
      <c r="G18" s="29"/>
      <c r="H18" s="30" t="n">
        <f aca="false">IFERROR(D18*G18,"")</f>
        <v>0</v>
      </c>
      <c r="I18" s="78" t="n">
        <f aca="true">IFERROR(TODAY()-C18,"")</f>
        <v>46165</v>
      </c>
      <c r="J18" s="31" t="n">
        <f aca="false">IFERROR(H18-F18,"")</f>
        <v>0</v>
      </c>
      <c r="K18" s="15" t="str">
        <f aca="false">IF(I18="","",IF(I18&gt;365,"Long-term","Short-term"))</f>
        <v>Long-term</v>
      </c>
      <c r="L18" s="60"/>
    </row>
    <row r="19" customFormat="false" ht="16.9" hidden="false" customHeight="false" outlineLevel="0" collapsed="false">
      <c r="B19" s="12"/>
      <c r="C19" s="28"/>
      <c r="D19" s="65"/>
      <c r="E19" s="27"/>
      <c r="F19" s="17" t="n">
        <f aca="false">IFERROR(D19*E19,"")</f>
        <v>0</v>
      </c>
      <c r="G19" s="29"/>
      <c r="H19" s="30" t="n">
        <f aca="false">IFERROR(D19*G19,"")</f>
        <v>0</v>
      </c>
      <c r="I19" s="78" t="n">
        <f aca="true">IFERROR(TODAY()-C19,"")</f>
        <v>46165</v>
      </c>
      <c r="J19" s="31" t="n">
        <f aca="false">IFERROR(H19-F19,"")</f>
        <v>0</v>
      </c>
      <c r="K19" s="15" t="str">
        <f aca="false">IF(I19="","",IF(I19&gt;365,"Long-term","Short-term"))</f>
        <v>Long-term</v>
      </c>
      <c r="L19" s="60"/>
    </row>
    <row r="20" customFormat="false" ht="16.9" hidden="false" customHeight="false" outlineLevel="0" collapsed="false">
      <c r="B20" s="12"/>
      <c r="C20" s="28"/>
      <c r="D20" s="65"/>
      <c r="E20" s="27"/>
      <c r="F20" s="17" t="n">
        <f aca="false">IFERROR(D20*E20,"")</f>
        <v>0</v>
      </c>
      <c r="G20" s="29"/>
      <c r="H20" s="30" t="n">
        <f aca="false">IFERROR(D20*G20,"")</f>
        <v>0</v>
      </c>
      <c r="I20" s="78" t="n">
        <f aca="true">IFERROR(TODAY()-C20,"")</f>
        <v>46165</v>
      </c>
      <c r="J20" s="31" t="n">
        <f aca="false">IFERROR(H20-F20,"")</f>
        <v>0</v>
      </c>
      <c r="K20" s="15" t="str">
        <f aca="false">IF(I20="","",IF(I20&gt;365,"Long-term","Short-term"))</f>
        <v>Long-term</v>
      </c>
      <c r="L20" s="60"/>
    </row>
    <row r="21" customFormat="false" ht="16.9" hidden="false" customHeight="false" outlineLevel="0" collapsed="false">
      <c r="B21" s="12"/>
      <c r="C21" s="28"/>
      <c r="D21" s="65"/>
      <c r="E21" s="27"/>
      <c r="F21" s="17" t="n">
        <f aca="false">IFERROR(D21*E21,"")</f>
        <v>0</v>
      </c>
      <c r="G21" s="29"/>
      <c r="H21" s="30" t="n">
        <f aca="false">IFERROR(D21*G21,"")</f>
        <v>0</v>
      </c>
      <c r="I21" s="78" t="n">
        <f aca="true">IFERROR(TODAY()-C21,"")</f>
        <v>46165</v>
      </c>
      <c r="J21" s="31" t="n">
        <f aca="false">IFERROR(H21-F21,"")</f>
        <v>0</v>
      </c>
      <c r="K21" s="15" t="str">
        <f aca="false">IF(I21="","",IF(I21&gt;365,"Long-term","Short-term"))</f>
        <v>Long-term</v>
      </c>
      <c r="L21" s="60"/>
    </row>
    <row r="22" customFormat="false" ht="16.9" hidden="false" customHeight="false" outlineLevel="0" collapsed="false">
      <c r="B22" s="12"/>
      <c r="C22" s="28"/>
      <c r="D22" s="65"/>
      <c r="E22" s="27"/>
      <c r="F22" s="17" t="n">
        <f aca="false">IFERROR(D22*E22,"")</f>
        <v>0</v>
      </c>
      <c r="G22" s="29"/>
      <c r="H22" s="30" t="n">
        <f aca="false">IFERROR(D22*G22,"")</f>
        <v>0</v>
      </c>
      <c r="I22" s="78" t="n">
        <f aca="true">IFERROR(TODAY()-C22,"")</f>
        <v>46165</v>
      </c>
      <c r="J22" s="31" t="n">
        <f aca="false">IFERROR(H22-F22,"")</f>
        <v>0</v>
      </c>
      <c r="K22" s="15" t="str">
        <f aca="false">IF(I22="","",IF(I22&gt;365,"Long-term","Short-term"))</f>
        <v>Long-term</v>
      </c>
      <c r="L22" s="60"/>
    </row>
    <row r="23" customFormat="false" ht="16.9" hidden="false" customHeight="false" outlineLevel="0" collapsed="false">
      <c r="B23" s="12"/>
      <c r="C23" s="28"/>
      <c r="D23" s="65"/>
      <c r="E23" s="27"/>
      <c r="F23" s="17" t="n">
        <f aca="false">IFERROR(D23*E23,"")</f>
        <v>0</v>
      </c>
      <c r="G23" s="29"/>
      <c r="H23" s="30" t="n">
        <f aca="false">IFERROR(D23*G23,"")</f>
        <v>0</v>
      </c>
      <c r="I23" s="78" t="n">
        <f aca="true">IFERROR(TODAY()-C23,"")</f>
        <v>46165</v>
      </c>
      <c r="J23" s="31" t="n">
        <f aca="false">IFERROR(H23-F23,"")</f>
        <v>0</v>
      </c>
      <c r="K23" s="15" t="str">
        <f aca="false">IF(I23="","",IF(I23&gt;365,"Long-term","Short-term"))</f>
        <v>Long-term</v>
      </c>
      <c r="L23" s="60"/>
    </row>
    <row r="24" customFormat="false" ht="16.9" hidden="false" customHeight="false" outlineLevel="0" collapsed="false">
      <c r="B24" s="12"/>
      <c r="C24" s="28"/>
      <c r="D24" s="65"/>
      <c r="E24" s="27"/>
      <c r="F24" s="17" t="n">
        <f aca="false">IFERROR(D24*E24,"")</f>
        <v>0</v>
      </c>
      <c r="G24" s="29"/>
      <c r="H24" s="30" t="n">
        <f aca="false">IFERROR(D24*G24,"")</f>
        <v>0</v>
      </c>
      <c r="I24" s="78" t="n">
        <f aca="true">IFERROR(TODAY()-C24,"")</f>
        <v>46165</v>
      </c>
      <c r="J24" s="31" t="n">
        <f aca="false">IFERROR(H24-F24,"")</f>
        <v>0</v>
      </c>
      <c r="K24" s="15" t="str">
        <f aca="false">IF(I24="","",IF(I24&gt;365,"Long-term","Short-term"))</f>
        <v>Long-term</v>
      </c>
      <c r="L24" s="60"/>
    </row>
    <row r="25" customFormat="false" ht="16.9" hidden="false" customHeight="false" outlineLevel="0" collapsed="false">
      <c r="B25" s="12"/>
      <c r="C25" s="28"/>
      <c r="D25" s="65"/>
      <c r="E25" s="27"/>
      <c r="F25" s="17" t="n">
        <f aca="false">IFERROR(D25*E25,"")</f>
        <v>0</v>
      </c>
      <c r="G25" s="29"/>
      <c r="H25" s="30" t="n">
        <f aca="false">IFERROR(D25*G25,"")</f>
        <v>0</v>
      </c>
      <c r="I25" s="78" t="n">
        <f aca="true">IFERROR(TODAY()-C25,"")</f>
        <v>46165</v>
      </c>
      <c r="J25" s="31" t="n">
        <f aca="false">IFERROR(H25-F25,"")</f>
        <v>0</v>
      </c>
      <c r="K25" s="15" t="str">
        <f aca="false">IF(I25="","",IF(I25&gt;365,"Long-term","Short-term"))</f>
        <v>Long-term</v>
      </c>
      <c r="L25" s="60"/>
    </row>
    <row r="26" customFormat="false" ht="16.9" hidden="false" customHeight="false" outlineLevel="0" collapsed="false">
      <c r="B26" s="12"/>
      <c r="C26" s="28"/>
      <c r="D26" s="65"/>
      <c r="E26" s="27"/>
      <c r="F26" s="17" t="n">
        <f aca="false">IFERROR(D26*E26,"")</f>
        <v>0</v>
      </c>
      <c r="G26" s="29"/>
      <c r="H26" s="30" t="n">
        <f aca="false">IFERROR(D26*G26,"")</f>
        <v>0</v>
      </c>
      <c r="I26" s="78" t="n">
        <f aca="true">IFERROR(TODAY()-C26,"")</f>
        <v>46165</v>
      </c>
      <c r="J26" s="31" t="n">
        <f aca="false">IFERROR(H26-F26,"")</f>
        <v>0</v>
      </c>
      <c r="K26" s="15" t="str">
        <f aca="false">IF(I26="","",IF(I26&gt;365,"Long-term","Short-term"))</f>
        <v>Long-term</v>
      </c>
      <c r="L26" s="60"/>
    </row>
    <row r="27" customFormat="false" ht="16.9" hidden="false" customHeight="false" outlineLevel="0" collapsed="false">
      <c r="B27" s="12"/>
      <c r="C27" s="28"/>
      <c r="D27" s="65"/>
      <c r="E27" s="27"/>
      <c r="F27" s="17" t="n">
        <f aca="false">IFERROR(D27*E27,"")</f>
        <v>0</v>
      </c>
      <c r="G27" s="29"/>
      <c r="H27" s="30" t="n">
        <f aca="false">IFERROR(D27*G27,"")</f>
        <v>0</v>
      </c>
      <c r="I27" s="78" t="n">
        <f aca="true">IFERROR(TODAY()-C27,"")</f>
        <v>46165</v>
      </c>
      <c r="J27" s="31" t="n">
        <f aca="false">IFERROR(H27-F27,"")</f>
        <v>0</v>
      </c>
      <c r="K27" s="15" t="str">
        <f aca="false">IF(I27="","",IF(I27&gt;365,"Long-term","Short-term"))</f>
        <v>Long-term</v>
      </c>
      <c r="L27" s="60"/>
    </row>
    <row r="28" customFormat="false" ht="16.9" hidden="false" customHeight="false" outlineLevel="0" collapsed="false">
      <c r="B28" s="12"/>
      <c r="C28" s="28"/>
      <c r="D28" s="65"/>
      <c r="E28" s="27"/>
      <c r="F28" s="17" t="n">
        <f aca="false">IFERROR(D28*E28,"")</f>
        <v>0</v>
      </c>
      <c r="G28" s="29"/>
      <c r="H28" s="30" t="n">
        <f aca="false">IFERROR(D28*G28,"")</f>
        <v>0</v>
      </c>
      <c r="I28" s="78" t="n">
        <f aca="true">IFERROR(TODAY()-C28,"")</f>
        <v>46165</v>
      </c>
      <c r="J28" s="31" t="n">
        <f aca="false">IFERROR(H28-F28,"")</f>
        <v>0</v>
      </c>
      <c r="K28" s="15" t="str">
        <f aca="false">IF(I28="","",IF(I28&gt;365,"Long-term","Short-term"))</f>
        <v>Long-term</v>
      </c>
      <c r="L28" s="60"/>
    </row>
    <row r="29" customFormat="false" ht="16.9" hidden="false" customHeight="false" outlineLevel="0" collapsed="false">
      <c r="B29" s="12"/>
      <c r="C29" s="28"/>
      <c r="D29" s="65"/>
      <c r="E29" s="27"/>
      <c r="F29" s="17" t="n">
        <f aca="false">IFERROR(D29*E29,"")</f>
        <v>0</v>
      </c>
      <c r="G29" s="29"/>
      <c r="H29" s="30" t="n">
        <f aca="false">IFERROR(D29*G29,"")</f>
        <v>0</v>
      </c>
      <c r="I29" s="78" t="n">
        <f aca="true">IFERROR(TODAY()-C29,"")</f>
        <v>46165</v>
      </c>
      <c r="J29" s="31" t="n">
        <f aca="false">IFERROR(H29-F29,"")</f>
        <v>0</v>
      </c>
      <c r="K29" s="15" t="str">
        <f aca="false">IF(I29="","",IF(I29&gt;365,"Long-term","Short-term"))</f>
        <v>Long-term</v>
      </c>
      <c r="L29" s="60"/>
    </row>
    <row r="30" customFormat="false" ht="16.9" hidden="false" customHeight="false" outlineLevel="0" collapsed="false">
      <c r="B30" s="12"/>
      <c r="C30" s="28"/>
      <c r="D30" s="65"/>
      <c r="E30" s="27"/>
      <c r="F30" s="17" t="n">
        <f aca="false">IFERROR(D30*E30,"")</f>
        <v>0</v>
      </c>
      <c r="G30" s="29"/>
      <c r="H30" s="30" t="n">
        <f aca="false">IFERROR(D30*G30,"")</f>
        <v>0</v>
      </c>
      <c r="I30" s="78" t="n">
        <f aca="true">IFERROR(TODAY()-C30,"")</f>
        <v>46165</v>
      </c>
      <c r="J30" s="31" t="n">
        <f aca="false">IFERROR(H30-F30,"")</f>
        <v>0</v>
      </c>
      <c r="K30" s="15" t="str">
        <f aca="false">IF(I30="","",IF(I30&gt;365,"Long-term","Short-term"))</f>
        <v>Long-term</v>
      </c>
      <c r="L30" s="60"/>
    </row>
    <row r="31" customFormat="false" ht="16.9" hidden="false" customHeight="false" outlineLevel="0" collapsed="false">
      <c r="B31" s="12"/>
      <c r="C31" s="28"/>
      <c r="D31" s="65"/>
      <c r="E31" s="27"/>
      <c r="F31" s="17" t="n">
        <f aca="false">IFERROR(D31*E31,"")</f>
        <v>0</v>
      </c>
      <c r="G31" s="29"/>
      <c r="H31" s="30" t="n">
        <f aca="false">IFERROR(D31*G31,"")</f>
        <v>0</v>
      </c>
      <c r="I31" s="78" t="n">
        <f aca="true">IFERROR(TODAY()-C31,"")</f>
        <v>46165</v>
      </c>
      <c r="J31" s="31" t="n">
        <f aca="false">IFERROR(H31-F31,"")</f>
        <v>0</v>
      </c>
      <c r="K31" s="15" t="str">
        <f aca="false">IF(I31="","",IF(I31&gt;365,"Long-term","Short-term"))</f>
        <v>Long-term</v>
      </c>
      <c r="L31" s="60"/>
    </row>
    <row r="32" customFormat="false" ht="16.9" hidden="false" customHeight="false" outlineLevel="0" collapsed="false">
      <c r="B32" s="12"/>
      <c r="C32" s="28"/>
      <c r="D32" s="65"/>
      <c r="E32" s="27"/>
      <c r="F32" s="17" t="n">
        <f aca="false">IFERROR(D32*E32,"")</f>
        <v>0</v>
      </c>
      <c r="G32" s="29"/>
      <c r="H32" s="30" t="n">
        <f aca="false">IFERROR(D32*G32,"")</f>
        <v>0</v>
      </c>
      <c r="I32" s="78" t="n">
        <f aca="true">IFERROR(TODAY()-C32,"")</f>
        <v>46165</v>
      </c>
      <c r="J32" s="31" t="n">
        <f aca="false">IFERROR(H32-F32,"")</f>
        <v>0</v>
      </c>
      <c r="K32" s="15" t="str">
        <f aca="false">IF(I32="","",IF(I32&gt;365,"Long-term","Short-term"))</f>
        <v>Long-term</v>
      </c>
      <c r="L32" s="60"/>
    </row>
    <row r="33" customFormat="false" ht="16.9" hidden="false" customHeight="false" outlineLevel="0" collapsed="false">
      <c r="B33" s="12"/>
      <c r="C33" s="28"/>
      <c r="D33" s="65"/>
      <c r="E33" s="27"/>
      <c r="F33" s="17" t="n">
        <f aca="false">IFERROR(D33*E33,"")</f>
        <v>0</v>
      </c>
      <c r="G33" s="29"/>
      <c r="H33" s="30" t="n">
        <f aca="false">IFERROR(D33*G33,"")</f>
        <v>0</v>
      </c>
      <c r="I33" s="78" t="n">
        <f aca="true">IFERROR(TODAY()-C33,"")</f>
        <v>46165</v>
      </c>
      <c r="J33" s="31" t="n">
        <f aca="false">IFERROR(H33-F33,"")</f>
        <v>0</v>
      </c>
      <c r="K33" s="15" t="str">
        <f aca="false">IF(I33="","",IF(I33&gt;365,"Long-term","Short-term"))</f>
        <v>Long-term</v>
      </c>
      <c r="L33" s="60"/>
    </row>
    <row r="34" customFormat="false" ht="16.9" hidden="false" customHeight="false" outlineLevel="0" collapsed="false">
      <c r="B34" s="12"/>
      <c r="C34" s="28"/>
      <c r="D34" s="65"/>
      <c r="E34" s="27"/>
      <c r="F34" s="17" t="n">
        <f aca="false">IFERROR(D34*E34,"")</f>
        <v>0</v>
      </c>
      <c r="G34" s="29"/>
      <c r="H34" s="30" t="n">
        <f aca="false">IFERROR(D34*G34,"")</f>
        <v>0</v>
      </c>
      <c r="I34" s="78" t="n">
        <f aca="true">IFERROR(TODAY()-C34,"")</f>
        <v>46165</v>
      </c>
      <c r="J34" s="31" t="n">
        <f aca="false">IFERROR(H34-F34,"")</f>
        <v>0</v>
      </c>
      <c r="K34" s="15" t="str">
        <f aca="false">IF(I34="","",IF(I34&gt;365,"Long-term","Short-term"))</f>
        <v>Long-term</v>
      </c>
      <c r="L34" s="60"/>
    </row>
    <row r="35" customFormat="false" ht="16.9" hidden="false" customHeight="false" outlineLevel="0" collapsed="false">
      <c r="B35" s="12"/>
      <c r="C35" s="28"/>
      <c r="D35" s="65"/>
      <c r="E35" s="27"/>
      <c r="F35" s="17" t="n">
        <f aca="false">IFERROR(D35*E35,"")</f>
        <v>0</v>
      </c>
      <c r="G35" s="29"/>
      <c r="H35" s="30" t="n">
        <f aca="false">IFERROR(D35*G35,"")</f>
        <v>0</v>
      </c>
      <c r="I35" s="78" t="n">
        <f aca="true">IFERROR(TODAY()-C35,"")</f>
        <v>46165</v>
      </c>
      <c r="J35" s="31" t="n">
        <f aca="false">IFERROR(H35-F35,"")</f>
        <v>0</v>
      </c>
      <c r="K35" s="15" t="str">
        <f aca="false">IF(I35="","",IF(I35&gt;365,"Long-term","Short-term"))</f>
        <v>Long-term</v>
      </c>
      <c r="L35" s="60"/>
    </row>
    <row r="36" customFormat="false" ht="16.9" hidden="false" customHeight="false" outlineLevel="0" collapsed="false">
      <c r="B36" s="12"/>
      <c r="C36" s="28"/>
      <c r="D36" s="65"/>
      <c r="E36" s="27"/>
      <c r="F36" s="17" t="n">
        <f aca="false">IFERROR(D36*E36,"")</f>
        <v>0</v>
      </c>
      <c r="G36" s="29"/>
      <c r="H36" s="30" t="n">
        <f aca="false">IFERROR(D36*G36,"")</f>
        <v>0</v>
      </c>
      <c r="I36" s="78" t="n">
        <f aca="true">IFERROR(TODAY()-C36,"")</f>
        <v>46165</v>
      </c>
      <c r="J36" s="31" t="n">
        <f aca="false">IFERROR(H36-F36,"")</f>
        <v>0</v>
      </c>
      <c r="K36" s="15" t="str">
        <f aca="false">IF(I36="","",IF(I36&gt;365,"Long-term","Short-term"))</f>
        <v>Long-term</v>
      </c>
      <c r="L36" s="60"/>
    </row>
    <row r="37" customFormat="false" ht="16.9" hidden="false" customHeight="false" outlineLevel="0" collapsed="false">
      <c r="B37" s="12"/>
      <c r="C37" s="28"/>
      <c r="D37" s="65"/>
      <c r="E37" s="27"/>
      <c r="F37" s="17" t="n">
        <f aca="false">IFERROR(D37*E37,"")</f>
        <v>0</v>
      </c>
      <c r="G37" s="29"/>
      <c r="H37" s="30" t="n">
        <f aca="false">IFERROR(D37*G37,"")</f>
        <v>0</v>
      </c>
      <c r="I37" s="78" t="n">
        <f aca="true">IFERROR(TODAY()-C37,"")</f>
        <v>46165</v>
      </c>
      <c r="J37" s="31" t="n">
        <f aca="false">IFERROR(H37-F37,"")</f>
        <v>0</v>
      </c>
      <c r="K37" s="15" t="str">
        <f aca="false">IF(I37="","",IF(I37&gt;365,"Long-term","Short-term"))</f>
        <v>Long-term</v>
      </c>
      <c r="L37" s="60"/>
    </row>
    <row r="38" customFormat="false" ht="16.9" hidden="false" customHeight="false" outlineLevel="0" collapsed="false">
      <c r="B38" s="12"/>
      <c r="C38" s="28"/>
      <c r="D38" s="65"/>
      <c r="E38" s="27"/>
      <c r="F38" s="17" t="n">
        <f aca="false">IFERROR(D38*E38,"")</f>
        <v>0</v>
      </c>
      <c r="G38" s="29"/>
      <c r="H38" s="30" t="n">
        <f aca="false">IFERROR(D38*G38,"")</f>
        <v>0</v>
      </c>
      <c r="I38" s="78" t="n">
        <f aca="true">IFERROR(TODAY()-C38,"")</f>
        <v>46165</v>
      </c>
      <c r="J38" s="31" t="n">
        <f aca="false">IFERROR(H38-F38,"")</f>
        <v>0</v>
      </c>
      <c r="K38" s="15" t="str">
        <f aca="false">IF(I38="","",IF(I38&gt;365,"Long-term","Short-term"))</f>
        <v>Long-term</v>
      </c>
      <c r="L38" s="60"/>
    </row>
    <row r="39" customFormat="false" ht="16.9" hidden="false" customHeight="false" outlineLevel="0" collapsed="false">
      <c r="B39" s="12"/>
      <c r="C39" s="28"/>
      <c r="D39" s="65"/>
      <c r="E39" s="27"/>
      <c r="F39" s="17" t="n">
        <f aca="false">IFERROR(D39*E39,"")</f>
        <v>0</v>
      </c>
      <c r="G39" s="29"/>
      <c r="H39" s="30" t="n">
        <f aca="false">IFERROR(D39*G39,"")</f>
        <v>0</v>
      </c>
      <c r="I39" s="78" t="n">
        <f aca="true">IFERROR(TODAY()-C39,"")</f>
        <v>46165</v>
      </c>
      <c r="J39" s="31" t="n">
        <f aca="false">IFERROR(H39-F39,"")</f>
        <v>0</v>
      </c>
      <c r="K39" s="15" t="str">
        <f aca="false">IF(I39="","",IF(I39&gt;365,"Long-term","Short-term"))</f>
        <v>Long-term</v>
      </c>
      <c r="L39" s="60"/>
    </row>
    <row r="40" customFormat="false" ht="16.9" hidden="false" customHeight="false" outlineLevel="0" collapsed="false">
      <c r="B40" s="12"/>
      <c r="C40" s="28"/>
      <c r="D40" s="65"/>
      <c r="E40" s="27"/>
      <c r="F40" s="17" t="n">
        <f aca="false">IFERROR(D40*E40,"")</f>
        <v>0</v>
      </c>
      <c r="G40" s="29"/>
      <c r="H40" s="30" t="n">
        <f aca="false">IFERROR(D40*G40,"")</f>
        <v>0</v>
      </c>
      <c r="I40" s="78" t="n">
        <f aca="true">IFERROR(TODAY()-C40,"")</f>
        <v>46165</v>
      </c>
      <c r="J40" s="31" t="n">
        <f aca="false">IFERROR(H40-F40,"")</f>
        <v>0</v>
      </c>
      <c r="K40" s="15" t="str">
        <f aca="false">IF(I40="","",IF(I40&gt;365,"Long-term","Short-term"))</f>
        <v>Long-term</v>
      </c>
      <c r="L40" s="60"/>
    </row>
    <row r="41" customFormat="false" ht="16.9" hidden="false" customHeight="false" outlineLevel="0" collapsed="false">
      <c r="B41" s="12"/>
      <c r="C41" s="28"/>
      <c r="D41" s="65"/>
      <c r="E41" s="27"/>
      <c r="F41" s="17" t="n">
        <f aca="false">IFERROR(D41*E41,"")</f>
        <v>0</v>
      </c>
      <c r="G41" s="29"/>
      <c r="H41" s="30" t="n">
        <f aca="false">IFERROR(D41*G41,"")</f>
        <v>0</v>
      </c>
      <c r="I41" s="78" t="n">
        <f aca="true">IFERROR(TODAY()-C41,"")</f>
        <v>46165</v>
      </c>
      <c r="J41" s="31" t="n">
        <f aca="false">IFERROR(H41-F41,"")</f>
        <v>0</v>
      </c>
      <c r="K41" s="15" t="str">
        <f aca="false">IF(I41="","",IF(I41&gt;365,"Long-term","Short-term"))</f>
        <v>Long-term</v>
      </c>
      <c r="L41" s="60"/>
    </row>
    <row r="42" customFormat="false" ht="16.9" hidden="false" customHeight="false" outlineLevel="0" collapsed="false">
      <c r="B42" s="12"/>
      <c r="C42" s="28"/>
      <c r="D42" s="65"/>
      <c r="E42" s="27"/>
      <c r="F42" s="17" t="n">
        <f aca="false">IFERROR(D42*E42,"")</f>
        <v>0</v>
      </c>
      <c r="G42" s="29"/>
      <c r="H42" s="30" t="n">
        <f aca="false">IFERROR(D42*G42,"")</f>
        <v>0</v>
      </c>
      <c r="I42" s="78" t="n">
        <f aca="true">IFERROR(TODAY()-C42,"")</f>
        <v>46165</v>
      </c>
      <c r="J42" s="31" t="n">
        <f aca="false">IFERROR(H42-F42,"")</f>
        <v>0</v>
      </c>
      <c r="K42" s="15" t="str">
        <f aca="false">IF(I42="","",IF(I42&gt;365,"Long-term","Short-term"))</f>
        <v>Long-term</v>
      </c>
      <c r="L42" s="60"/>
    </row>
    <row r="45" customFormat="false" ht="31.5" hidden="false" customHeight="true" outlineLevel="0" collapsed="false">
      <c r="B45" s="22" t="s">
        <v>316</v>
      </c>
      <c r="C45" s="22"/>
      <c r="D45" s="22"/>
      <c r="E45" s="22"/>
      <c r="F45" s="22"/>
      <c r="G45" s="22"/>
      <c r="H45" s="22"/>
      <c r="I45" s="22"/>
      <c r="J45" s="22"/>
      <c r="K45" s="22"/>
      <c r="L45" s="22"/>
    </row>
    <row r="46" customFormat="false" ht="31.5" hidden="false" customHeight="true" outlineLevel="0" collapsed="false">
      <c r="B46" s="22"/>
      <c r="C46" s="22"/>
      <c r="D46" s="22"/>
      <c r="E46" s="22"/>
      <c r="F46" s="22"/>
      <c r="G46" s="22"/>
      <c r="H46" s="22"/>
      <c r="I46" s="22"/>
      <c r="J46" s="22"/>
      <c r="K46" s="22"/>
      <c r="L46" s="22"/>
    </row>
    <row r="50" customFormat="false" ht="3" hidden="false" customHeight="true" outlineLevel="0" collapsed="false">
      <c r="A50" s="9"/>
      <c r="B50" s="9"/>
      <c r="C50" s="9"/>
      <c r="D50" s="9"/>
      <c r="E50" s="9"/>
      <c r="F50" s="9"/>
      <c r="G50" s="9"/>
      <c r="H50" s="9"/>
      <c r="I50" s="9"/>
      <c r="J50" s="9"/>
      <c r="K50" s="9"/>
      <c r="L50" s="9"/>
      <c r="M50" s="9"/>
    </row>
    <row r="51" customFormat="false" ht="21.75" hidden="false" customHeight="true" outlineLevel="0" collapsed="false">
      <c r="A51" s="23" t="s">
        <v>49</v>
      </c>
      <c r="B51" s="23"/>
      <c r="C51" s="23"/>
      <c r="D51" s="23"/>
      <c r="E51" s="23"/>
      <c r="F51" s="23"/>
      <c r="G51" s="23"/>
      <c r="H51" s="23"/>
      <c r="I51" s="23"/>
      <c r="J51" s="23"/>
      <c r="K51" s="23"/>
      <c r="L51" s="23"/>
      <c r="M51"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45:L46"/>
    <mergeCell ref="A50:M50"/>
    <mergeCell ref="A51:M51"/>
  </mergeCells>
  <conditionalFormatting sqref="K11:K42">
    <cfRule type="containsText" priority="2" operator="containsText" aboveAverage="0" equalAverage="0" bottom="0" percent="0" rank="0" text="" dxfId="2">
      <formula>NOT(ISERROR(SEARCH("",K11)))</formula>
    </cfRule>
    <cfRule type="containsText" priority="3" operator="containsText" aboveAverage="0" equalAverage="0" bottom="0" percent="0" rank="0" text="" dxfId="1">
      <formula>NOT(ISERROR(SEARCH("",K11)))</formula>
    </cfRule>
  </conditionalFormatting>
  <dataValidations count="1">
    <dataValidation allowBlank="false" errorStyle="stop" operator="between" showDropDown="false" showErrorMessage="false" showInputMessage="false" sqref="L8" type="list">
      <formula1>"US,UK,EU,AU,CA"</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3A30"/>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4" min="3" style="0" width="11"/>
    <col collapsed="false" customWidth="true" hidden="false" outlineLevel="0" max="6" min="5" style="0" width="12"/>
    <col collapsed="false" customWidth="true" hidden="false" outlineLevel="0" max="8" min="7" style="0" width="14"/>
    <col collapsed="false" customWidth="true" hidden="false" outlineLevel="0" max="9" min="9" style="0" width="16"/>
    <col collapsed="false" customWidth="true" hidden="false" outlineLevel="0" max="10" min="10" style="0" width="12"/>
    <col collapsed="false" customWidth="true" hidden="false" outlineLevel="0" max="11" min="11" style="0" width="11"/>
    <col collapsed="false" customWidth="true" hidden="false" outlineLevel="0" max="12" min="12" style="0" width="14"/>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317</v>
      </c>
      <c r="K1" s="3"/>
      <c r="L1" s="3"/>
      <c r="M1" s="3"/>
    </row>
    <row r="2" customFormat="false" ht="54" hidden="false" customHeight="true" outlineLevel="0" collapsed="false">
      <c r="A2" s="4" t="str">
        <f aca="false">"CANDIDATES"&amp;CHAR(10)&amp;(COUNTIF(F9:F22,"&lt;0"))</f>
        <v>CANDIDATES
0</v>
      </c>
      <c r="B2" s="4"/>
      <c r="C2" s="4" t="str">
        <f aca="false">"LOSS $"&amp;CHAR(10)&amp;(TEXT(SUMIF(F9:F22,"&lt;0"),"$#,##0"))</f>
        <v>LOSS $
$0</v>
      </c>
      <c r="D2" s="4"/>
      <c r="E2" s="4" t="str">
        <f aca="false">"TAX SAVINGS"&amp;CHAR(10)&amp;(TEXT(IFERROR(-SUMIF(F9:F22,"&lt;0")*0.24,0),"$#,##0"))</f>
        <v>TAX SAVINGS
$0</v>
      </c>
      <c r="F2" s="4"/>
      <c r="G2" s="4" t="str">
        <f aca="false">"WASH BLOCKED"&amp;CHAR(10)&amp;(COUNTIF(I9:I22,"🔴*"))</f>
        <v>WASH BLOCKED
1</v>
      </c>
      <c r="H2" s="4"/>
      <c r="I2" s="38" t="s">
        <v>318</v>
      </c>
      <c r="J2" s="38"/>
      <c r="K2" s="4" t="str">
        <f aca="false">"REGION"&amp;CHAR(10)&amp;('🧾 Tax Lot Tracker'!L8)</f>
        <v>REGION
</v>
      </c>
      <c r="L2" s="4"/>
      <c r="M2" s="4"/>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319</v>
      </c>
      <c r="B4" s="6"/>
      <c r="C4" s="6"/>
      <c r="D4" s="6"/>
      <c r="E4" s="6"/>
      <c r="F4" s="6"/>
      <c r="G4" s="6"/>
      <c r="H4" s="6"/>
      <c r="I4" s="6"/>
      <c r="J4" s="6"/>
      <c r="K4" s="6"/>
      <c r="L4" s="6"/>
      <c r="M4" s="6"/>
    </row>
    <row r="6" customFormat="false" ht="25.5" hidden="false" customHeight="true" outlineLevel="0" collapsed="false">
      <c r="B6" s="7" t="s">
        <v>320</v>
      </c>
      <c r="C6" s="7"/>
      <c r="D6" s="7"/>
      <c r="E6" s="7"/>
      <c r="F6" s="7"/>
      <c r="G6" s="7"/>
      <c r="H6" s="7"/>
      <c r="I6" s="7"/>
      <c r="J6" s="7"/>
      <c r="K6" s="7"/>
      <c r="L6" s="7"/>
    </row>
    <row r="7" customFormat="false" ht="18" hidden="false" customHeight="true" outlineLevel="0" collapsed="false">
      <c r="B7" s="8" t="s">
        <v>321</v>
      </c>
      <c r="C7" s="8"/>
      <c r="D7" s="8"/>
      <c r="E7" s="8"/>
      <c r="F7" s="8"/>
      <c r="G7" s="8"/>
      <c r="H7" s="8"/>
      <c r="I7" s="8"/>
      <c r="J7" s="8"/>
      <c r="K7" s="8"/>
      <c r="L7" s="8"/>
    </row>
    <row r="8" customFormat="false" ht="3" hidden="false" customHeight="true" outlineLevel="0" collapsed="false">
      <c r="B8" s="9"/>
      <c r="C8" s="9"/>
      <c r="D8" s="9"/>
      <c r="E8" s="9"/>
      <c r="F8" s="9"/>
      <c r="G8" s="9"/>
      <c r="H8" s="9"/>
      <c r="I8" s="9"/>
      <c r="J8" s="9"/>
      <c r="K8" s="9"/>
      <c r="L8" s="9"/>
    </row>
    <row r="10" customFormat="false" ht="24" hidden="false" customHeight="true" outlineLevel="0" collapsed="false">
      <c r="B10" s="10" t="s">
        <v>8</v>
      </c>
      <c r="C10" s="10" t="s">
        <v>69</v>
      </c>
      <c r="D10" s="10" t="s">
        <v>101</v>
      </c>
      <c r="E10" s="10" t="s">
        <v>105</v>
      </c>
      <c r="F10" s="10" t="s">
        <v>311</v>
      </c>
      <c r="G10" s="10" t="s">
        <v>322</v>
      </c>
      <c r="H10" s="10" t="s">
        <v>323</v>
      </c>
      <c r="I10" s="10" t="s">
        <v>324</v>
      </c>
      <c r="J10" s="10" t="s">
        <v>325</v>
      </c>
      <c r="K10" s="10" t="s">
        <v>326</v>
      </c>
      <c r="L10" s="10" t="s">
        <v>327</v>
      </c>
    </row>
    <row r="11" customFormat="false" ht="16.9" hidden="false" customHeight="false" outlineLevel="0" collapsed="false">
      <c r="B11" s="12" t="s">
        <v>59</v>
      </c>
      <c r="C11" s="41" t="s">
        <v>56</v>
      </c>
      <c r="D11" s="65" t="n">
        <v>250</v>
      </c>
      <c r="E11" s="17" t="n">
        <v>18550</v>
      </c>
      <c r="F11" s="17" t="n">
        <v>18100</v>
      </c>
      <c r="G11" s="31" t="n">
        <f aca="false">IFERROR(F11-E11,"")</f>
        <v>-450</v>
      </c>
      <c r="H11" s="32" t="n">
        <f aca="false">IFERROR(G11/E11,"")</f>
        <v>-0.0242587601078167</v>
      </c>
      <c r="I11" s="15" t="s">
        <v>328</v>
      </c>
      <c r="J11" s="79" t="s">
        <v>329</v>
      </c>
      <c r="K11" s="30" t="n">
        <f aca="false">IFERROR(MAX(0,-G11)*0.24,0)</f>
        <v>108</v>
      </c>
      <c r="L11" s="41" t="s">
        <v>330</v>
      </c>
    </row>
    <row r="12" customFormat="false" ht="16.9" hidden="false" customHeight="false" outlineLevel="0" collapsed="false">
      <c r="B12" s="12" t="s">
        <v>58</v>
      </c>
      <c r="C12" s="41" t="s">
        <v>56</v>
      </c>
      <c r="D12" s="65" t="n">
        <v>180</v>
      </c>
      <c r="E12" s="17" t="n">
        <v>10224</v>
      </c>
      <c r="F12" s="17" t="n">
        <v>10764</v>
      </c>
      <c r="G12" s="31" t="n">
        <f aca="false">IFERROR(F12-E12,"")</f>
        <v>540</v>
      </c>
      <c r="H12" s="32" t="n">
        <f aca="false">IFERROR(G12/E12,"")</f>
        <v>0.0528169014084507</v>
      </c>
      <c r="I12" s="15" t="s">
        <v>331</v>
      </c>
      <c r="J12" s="79" t="s">
        <v>332</v>
      </c>
      <c r="K12" s="30" t="n">
        <f aca="false">IFERROR(MAX(0,-G12)*0.24,0)</f>
        <v>0</v>
      </c>
      <c r="L12" s="41" t="s">
        <v>333</v>
      </c>
    </row>
    <row r="13" customFormat="false" ht="16.9" hidden="false" customHeight="false" outlineLevel="0" collapsed="false">
      <c r="B13" s="12" t="s">
        <v>334</v>
      </c>
      <c r="C13" s="41" t="s">
        <v>56</v>
      </c>
      <c r="D13" s="65" t="n">
        <v>80</v>
      </c>
      <c r="E13" s="17" t="n">
        <v>3704</v>
      </c>
      <c r="F13" s="17" t="n">
        <v>3056</v>
      </c>
      <c r="G13" s="31" t="n">
        <f aca="false">IFERROR(F13-E13,"")</f>
        <v>-648</v>
      </c>
      <c r="H13" s="32" t="n">
        <f aca="false">IFERROR(G13/E13,"")</f>
        <v>-0.174946004319654</v>
      </c>
      <c r="I13" s="15" t="s">
        <v>328</v>
      </c>
      <c r="J13" s="79" t="s">
        <v>335</v>
      </c>
      <c r="K13" s="30" t="n">
        <f aca="false">IFERROR(MAX(0,-G13)*0.24,0)</f>
        <v>155.52</v>
      </c>
      <c r="L13" s="41" t="s">
        <v>336</v>
      </c>
    </row>
    <row r="14" customFormat="false" ht="16.9" hidden="false" customHeight="false" outlineLevel="0" collapsed="false">
      <c r="B14" s="12"/>
      <c r="C14" s="41"/>
      <c r="D14" s="65"/>
      <c r="E14" s="17"/>
      <c r="F14" s="17"/>
      <c r="G14" s="31" t="n">
        <f aca="false">IFERROR(F14-E14,"")</f>
        <v>0</v>
      </c>
      <c r="H14" s="32" t="str">
        <f aca="false">IFERROR(G14/E14,"")</f>
        <v/>
      </c>
      <c r="I14" s="15"/>
      <c r="J14" s="79"/>
      <c r="K14" s="30" t="n">
        <f aca="false">IFERROR(MAX(0,-G14)*0.24,0)</f>
        <v>-0</v>
      </c>
      <c r="L14" s="41"/>
    </row>
    <row r="15" customFormat="false" ht="16.9" hidden="false" customHeight="false" outlineLevel="0" collapsed="false">
      <c r="B15" s="12"/>
      <c r="C15" s="41"/>
      <c r="D15" s="65"/>
      <c r="E15" s="17"/>
      <c r="F15" s="17"/>
      <c r="G15" s="31" t="n">
        <f aca="false">IFERROR(F15-E15,"")</f>
        <v>0</v>
      </c>
      <c r="H15" s="32" t="str">
        <f aca="false">IFERROR(G15/E15,"")</f>
        <v/>
      </c>
      <c r="I15" s="15"/>
      <c r="J15" s="79"/>
      <c r="K15" s="30" t="n">
        <f aca="false">IFERROR(MAX(0,-G15)*0.24,0)</f>
        <v>-0</v>
      </c>
      <c r="L15" s="41"/>
    </row>
    <row r="16" customFormat="false" ht="16.9" hidden="false" customHeight="false" outlineLevel="0" collapsed="false">
      <c r="B16" s="12"/>
      <c r="C16" s="41"/>
      <c r="D16" s="65"/>
      <c r="E16" s="17"/>
      <c r="F16" s="17"/>
      <c r="G16" s="31" t="n">
        <f aca="false">IFERROR(F16-E16,"")</f>
        <v>0</v>
      </c>
      <c r="H16" s="32" t="str">
        <f aca="false">IFERROR(G16/E16,"")</f>
        <v/>
      </c>
      <c r="I16" s="15"/>
      <c r="J16" s="79"/>
      <c r="K16" s="30" t="n">
        <f aca="false">IFERROR(MAX(0,-G16)*0.24,0)</f>
        <v>-0</v>
      </c>
      <c r="L16" s="41"/>
    </row>
    <row r="17" customFormat="false" ht="16.9" hidden="false" customHeight="false" outlineLevel="0" collapsed="false">
      <c r="B17" s="12"/>
      <c r="C17" s="41"/>
      <c r="D17" s="65"/>
      <c r="E17" s="17"/>
      <c r="F17" s="17"/>
      <c r="G17" s="31" t="n">
        <f aca="false">IFERROR(F17-E17,"")</f>
        <v>0</v>
      </c>
      <c r="H17" s="32" t="str">
        <f aca="false">IFERROR(G17/E17,"")</f>
        <v/>
      </c>
      <c r="I17" s="15"/>
      <c r="J17" s="79"/>
      <c r="K17" s="30" t="n">
        <f aca="false">IFERROR(MAX(0,-G17)*0.24,0)</f>
        <v>-0</v>
      </c>
      <c r="L17" s="41"/>
    </row>
    <row r="18" customFormat="false" ht="16.9" hidden="false" customHeight="false" outlineLevel="0" collapsed="false">
      <c r="B18" s="12"/>
      <c r="C18" s="41"/>
      <c r="D18" s="65"/>
      <c r="E18" s="17"/>
      <c r="F18" s="17"/>
      <c r="G18" s="31" t="n">
        <f aca="false">IFERROR(F18-E18,"")</f>
        <v>0</v>
      </c>
      <c r="H18" s="32" t="str">
        <f aca="false">IFERROR(G18/E18,"")</f>
        <v/>
      </c>
      <c r="I18" s="15"/>
      <c r="J18" s="79"/>
      <c r="K18" s="30" t="n">
        <f aca="false">IFERROR(MAX(0,-G18)*0.24,0)</f>
        <v>-0</v>
      </c>
      <c r="L18" s="41"/>
    </row>
    <row r="19" customFormat="false" ht="16.9" hidden="false" customHeight="false" outlineLevel="0" collapsed="false">
      <c r="B19" s="12"/>
      <c r="C19" s="41"/>
      <c r="D19" s="65"/>
      <c r="E19" s="17"/>
      <c r="F19" s="17"/>
      <c r="G19" s="31" t="n">
        <f aca="false">IFERROR(F19-E19,"")</f>
        <v>0</v>
      </c>
      <c r="H19" s="32" t="str">
        <f aca="false">IFERROR(G19/E19,"")</f>
        <v/>
      </c>
      <c r="I19" s="15"/>
      <c r="J19" s="79"/>
      <c r="K19" s="30" t="n">
        <f aca="false">IFERROR(MAX(0,-G19)*0.24,0)</f>
        <v>-0</v>
      </c>
      <c r="L19" s="41"/>
    </row>
    <row r="20" customFormat="false" ht="16.9" hidden="false" customHeight="false" outlineLevel="0" collapsed="false">
      <c r="B20" s="12"/>
      <c r="C20" s="41"/>
      <c r="D20" s="65"/>
      <c r="E20" s="17"/>
      <c r="F20" s="17"/>
      <c r="G20" s="31" t="n">
        <f aca="false">IFERROR(F20-E20,"")</f>
        <v>0</v>
      </c>
      <c r="H20" s="32" t="str">
        <f aca="false">IFERROR(G20/E20,"")</f>
        <v/>
      </c>
      <c r="I20" s="15"/>
      <c r="J20" s="79"/>
      <c r="K20" s="30" t="n">
        <f aca="false">IFERROR(MAX(0,-G20)*0.24,0)</f>
        <v>-0</v>
      </c>
      <c r="L20" s="41"/>
    </row>
    <row r="21" customFormat="false" ht="16.9" hidden="false" customHeight="false" outlineLevel="0" collapsed="false">
      <c r="B21" s="12"/>
      <c r="C21" s="41"/>
      <c r="D21" s="65"/>
      <c r="E21" s="17"/>
      <c r="F21" s="17"/>
      <c r="G21" s="31" t="n">
        <f aca="false">IFERROR(F21-E21,"")</f>
        <v>0</v>
      </c>
      <c r="H21" s="32" t="str">
        <f aca="false">IFERROR(G21/E21,"")</f>
        <v/>
      </c>
      <c r="I21" s="15"/>
      <c r="J21" s="79"/>
      <c r="K21" s="30" t="n">
        <f aca="false">IFERROR(MAX(0,-G21)*0.24,0)</f>
        <v>-0</v>
      </c>
      <c r="L21" s="41"/>
    </row>
    <row r="22" customFormat="false" ht="16.9" hidden="false" customHeight="false" outlineLevel="0" collapsed="false">
      <c r="B22" s="12"/>
      <c r="C22" s="41"/>
      <c r="D22" s="65"/>
      <c r="E22" s="17"/>
      <c r="F22" s="17"/>
      <c r="G22" s="31" t="n">
        <f aca="false">IFERROR(F22-E22,"")</f>
        <v>0</v>
      </c>
      <c r="H22" s="32" t="str">
        <f aca="false">IFERROR(G22/E22,"")</f>
        <v/>
      </c>
      <c r="I22" s="15"/>
      <c r="J22" s="79"/>
      <c r="K22" s="30" t="n">
        <f aca="false">IFERROR(MAX(0,-G22)*0.24,0)</f>
        <v>-0</v>
      </c>
      <c r="L22" s="41"/>
    </row>
    <row r="23" customFormat="false" ht="16.9" hidden="false" customHeight="false" outlineLevel="0" collapsed="false">
      <c r="B23" s="12"/>
      <c r="C23" s="41"/>
      <c r="D23" s="65"/>
      <c r="E23" s="17"/>
      <c r="F23" s="17"/>
      <c r="G23" s="31" t="n">
        <f aca="false">IFERROR(F23-E23,"")</f>
        <v>0</v>
      </c>
      <c r="H23" s="32" t="str">
        <f aca="false">IFERROR(G23/E23,"")</f>
        <v/>
      </c>
      <c r="I23" s="15"/>
      <c r="J23" s="79"/>
      <c r="K23" s="30" t="n">
        <f aca="false">IFERROR(MAX(0,-G23)*0.24,0)</f>
        <v>-0</v>
      </c>
      <c r="L23" s="41"/>
    </row>
    <row r="24" customFormat="false" ht="16.9" hidden="false" customHeight="false" outlineLevel="0" collapsed="false">
      <c r="B24" s="12"/>
      <c r="C24" s="41"/>
      <c r="D24" s="65"/>
      <c r="E24" s="17"/>
      <c r="F24" s="17"/>
      <c r="G24" s="31" t="n">
        <f aca="false">IFERROR(F24-E24,"")</f>
        <v>0</v>
      </c>
      <c r="H24" s="32" t="str">
        <f aca="false">IFERROR(G24/E24,"")</f>
        <v/>
      </c>
      <c r="I24" s="15"/>
      <c r="J24" s="79"/>
      <c r="K24" s="30" t="n">
        <f aca="false">IFERROR(MAX(0,-G24)*0.24,0)</f>
        <v>-0</v>
      </c>
      <c r="L24" s="41"/>
    </row>
    <row r="27" customFormat="false" ht="31.5" hidden="false" customHeight="true" outlineLevel="0" collapsed="false">
      <c r="B27" s="22" t="s">
        <v>337</v>
      </c>
      <c r="C27" s="22"/>
      <c r="D27" s="22"/>
      <c r="E27" s="22"/>
      <c r="F27" s="22"/>
      <c r="G27" s="22"/>
      <c r="H27" s="22"/>
      <c r="I27" s="22"/>
      <c r="J27" s="22"/>
      <c r="K27" s="22"/>
      <c r="L27" s="22"/>
    </row>
    <row r="28" customFormat="false" ht="31.5" hidden="false" customHeight="true" outlineLevel="0" collapsed="false">
      <c r="B28" s="22"/>
      <c r="C28" s="22"/>
      <c r="D28" s="22"/>
      <c r="E28" s="22"/>
      <c r="F28" s="22"/>
      <c r="G28" s="22"/>
      <c r="H28" s="22"/>
      <c r="I28" s="22"/>
      <c r="J28" s="22"/>
      <c r="K28" s="22"/>
      <c r="L28" s="22"/>
    </row>
    <row r="32" customFormat="false" ht="3" hidden="false" customHeight="true" outlineLevel="0" collapsed="false">
      <c r="A32" s="9"/>
      <c r="B32" s="9"/>
      <c r="C32" s="9"/>
      <c r="D32" s="9"/>
      <c r="E32" s="9"/>
      <c r="F32" s="9"/>
      <c r="G32" s="9"/>
      <c r="H32" s="9"/>
      <c r="I32" s="9"/>
      <c r="J32" s="9"/>
      <c r="K32" s="9"/>
      <c r="L32" s="9"/>
      <c r="M32" s="9"/>
    </row>
    <row r="33" customFormat="false" ht="21.75" hidden="false" customHeight="true" outlineLevel="0" collapsed="false">
      <c r="A33" s="23" t="s">
        <v>49</v>
      </c>
      <c r="B33" s="23"/>
      <c r="C33" s="23"/>
      <c r="D33" s="23"/>
      <c r="E33" s="23"/>
      <c r="F33" s="23"/>
      <c r="G33" s="23"/>
      <c r="H33" s="23"/>
      <c r="I33" s="23"/>
      <c r="J33" s="23"/>
      <c r="K33" s="23"/>
      <c r="L33" s="23"/>
      <c r="M33"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27:L28"/>
    <mergeCell ref="A32:M32"/>
    <mergeCell ref="A33:M33"/>
  </mergeCells>
  <conditionalFormatting sqref="I11:I24">
    <cfRule type="containsText" priority="2" operator="containsText" aboveAverage="0" equalAverage="0" bottom="0" percent="0" rank="0" text="" dxfId="0">
      <formula>NOT(ISERROR(SEARCH("",I11)))</formula>
    </cfRule>
    <cfRule type="containsText" priority="3" operator="containsText" aboveAverage="0" equalAverage="0" bottom="0" percent="0" rank="0" text="" dxfId="2">
      <formula>NOT(ISERROR(SEARCH("",I11)))</formula>
    </cfRule>
  </conditionalFormatting>
  <conditionalFormatting sqref="G11:H24">
    <cfRule type="cellIs" priority="4" operator="lessThan" aboveAverage="0" equalAverage="0" bottom="0" percent="0" rank="0" text="" dxfId="4">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33"/>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12" min="3" style="0" width="12"/>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338</v>
      </c>
      <c r="K1" s="3"/>
      <c r="L1" s="3"/>
      <c r="M1" s="3"/>
    </row>
    <row r="2" customFormat="false" ht="54" hidden="false" customHeight="true" outlineLevel="0" collapsed="false">
      <c r="A2" s="4" t="str">
        <f aca="false">"CURRENT $"&amp;CHAR(10)&amp;(TEXT(SUM('📊 Holdings Master'!J9:J68),"$#,##0"))</f>
        <v>CURRENT $
$107,390</v>
      </c>
      <c r="B2" s="4"/>
      <c r="C2" s="4" t="str">
        <f aca="false">"SCENARIO"&amp;CHAR(10)&amp;(IFERROR(C5,"—"))</f>
        <v>SCENARIO
Moderate correction (-20%)</v>
      </c>
      <c r="D2" s="4"/>
      <c r="E2" s="4" t="str">
        <f aca="false">"POST-SHOCK"&amp;CHAR(10)&amp;(TEXT(IFERROR(C8,0),"$#,##0"))</f>
        <v>POST-SHOCK
$0</v>
      </c>
      <c r="F2" s="4"/>
      <c r="G2" s="4" t="str">
        <f aca="false">"RECOVERY"&amp;CHAR(10)&amp;(IFERROR(C12&amp;" mo","—"))</f>
        <v>RECOVERY
0 mo</v>
      </c>
      <c r="H2" s="4"/>
      <c r="I2" s="4" t="str">
        <f aca="false">"FIRE DELAY"&amp;CHAR(10)&amp;(IFERROR(C14&amp;" mo","—"))</f>
        <v>FIRE DELAY
0 mo</v>
      </c>
      <c r="J2" s="4"/>
      <c r="K2" s="38" t="s">
        <v>339</v>
      </c>
      <c r="L2" s="38"/>
      <c r="M2" s="38"/>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340</v>
      </c>
      <c r="B4" s="6"/>
      <c r="C4" s="6"/>
      <c r="D4" s="6"/>
      <c r="E4" s="6"/>
      <c r="F4" s="6"/>
      <c r="G4" s="6"/>
      <c r="H4" s="6"/>
      <c r="I4" s="6"/>
      <c r="J4" s="6"/>
      <c r="K4" s="6"/>
      <c r="L4" s="6"/>
      <c r="M4" s="6"/>
    </row>
    <row r="5" customFormat="false" ht="15" hidden="false" customHeight="false" outlineLevel="0" collapsed="false">
      <c r="B5" s="80" t="s">
        <v>341</v>
      </c>
      <c r="C5" s="81" t="s">
        <v>342</v>
      </c>
    </row>
    <row r="6" customFormat="false" ht="25.5" hidden="false" customHeight="true" outlineLevel="0" collapsed="false">
      <c r="B6" s="7" t="s">
        <v>343</v>
      </c>
      <c r="C6" s="7"/>
      <c r="D6" s="7"/>
      <c r="E6" s="7"/>
      <c r="F6" s="7"/>
      <c r="G6" s="7"/>
      <c r="H6" s="7"/>
      <c r="I6" s="7"/>
      <c r="J6" s="7"/>
      <c r="K6" s="7"/>
      <c r="L6" s="7"/>
    </row>
    <row r="7" customFormat="false" ht="18" hidden="false" customHeight="true" outlineLevel="0" collapsed="false">
      <c r="B7" s="82" t="n">
        <f aca="false">IF(C5="Mild correction (-10%)",-0.1,IF(C5="Moderate correction (-20%)",-0.2,IF(C5="Severe correction (-35%)",-0.35,IF(C5="Mild rally (+15%)",0.15,IF(C5="Strong rally (+30%)",0.3,0)))))</f>
        <v>-0.2</v>
      </c>
      <c r="C7" s="82"/>
      <c r="D7" s="82"/>
      <c r="E7" s="82"/>
      <c r="F7" s="82"/>
      <c r="G7" s="82"/>
      <c r="H7" s="82"/>
      <c r="I7" s="82"/>
      <c r="J7" s="82"/>
      <c r="K7" s="82"/>
      <c r="L7" s="82"/>
    </row>
    <row r="8" customFormat="false" ht="3" hidden="false" customHeight="true" outlineLevel="0" collapsed="false">
      <c r="B8" s="82" t="n">
        <f aca="false">IF(C5="Mild correction (-10%)",-0.25,IF(C5="Moderate correction (-20%)",-0.5,IF(C5="Severe correction (-35%)",-0.75,IF(C5="Mild rally (+15%)",0.5,IF(C5="Strong rally (+30%)",1,0)))))</f>
        <v>-0.5</v>
      </c>
      <c r="C8" s="82"/>
      <c r="D8" s="82"/>
      <c r="E8" s="82"/>
      <c r="F8" s="82"/>
      <c r="G8" s="82"/>
      <c r="H8" s="82"/>
      <c r="I8" s="82"/>
      <c r="J8" s="82"/>
      <c r="K8" s="82"/>
      <c r="L8" s="82"/>
    </row>
    <row r="9" customFormat="false" ht="15" hidden="false" customHeight="false" outlineLevel="0" collapsed="false">
      <c r="B9" s="71" t="s">
        <v>344</v>
      </c>
      <c r="C9" s="83" t="n">
        <f aca="false">SUM('📊 Holdings Master'!J9:J68)*(1+C6*0.8)</f>
        <v>107390</v>
      </c>
    </row>
    <row r="10" customFormat="false" ht="15" hidden="false" customHeight="false" outlineLevel="0" collapsed="false">
      <c r="B10" s="71" t="s">
        <v>345</v>
      </c>
      <c r="C10" s="84" t="n">
        <f aca="false">C8-SUM('📊 Holdings Master'!J9:J68)</f>
        <v>-107390</v>
      </c>
    </row>
    <row r="11" customFormat="false" ht="15" hidden="false" customHeight="false" outlineLevel="0" collapsed="false">
      <c r="B11" s="71" t="s">
        <v>346</v>
      </c>
      <c r="C11" s="82" t="n">
        <f aca="false">IFERROR(C9/SUM('📊 Holdings Master'!J9:J68),0)</f>
        <v>1</v>
      </c>
    </row>
    <row r="12" customFormat="false" ht="15" hidden="false" customHeight="false" outlineLevel="0" collapsed="false">
      <c r="B12" s="71" t="s">
        <v>347</v>
      </c>
      <c r="C12" s="85" t="n">
        <f aca="false">IF(C9&gt;=0,0,IFERROR(ROUNDUP(LN(SUM('📊 Holdings Master'!J9:J68)/MAX(1,C8))/LN(1.005),0),"—"))</f>
        <v>0</v>
      </c>
    </row>
    <row r="13" customFormat="false" ht="15" hidden="false" customHeight="false" outlineLevel="0" collapsed="false">
      <c r="B13" s="71" t="s">
        <v>348</v>
      </c>
      <c r="C13" s="83" t="n">
        <f aca="false">IF(C5="Add $500/mo",2300,IF(C5="Add $1,000/mo",2800,IF(C5="Pause 12 months",0,1800)))</f>
        <v>1800</v>
      </c>
    </row>
    <row r="14" customFormat="false" ht="15" hidden="false" customHeight="false" outlineLevel="0" collapsed="false">
      <c r="B14" s="71" t="s">
        <v>349</v>
      </c>
      <c r="C14" s="85" t="n">
        <f aca="false">IF(C9&gt;=0,0,IFERROR(ROUNDUP(-C9/(C12*12),0),"—"))</f>
        <v>0</v>
      </c>
    </row>
    <row r="15" customFormat="false" ht="15" hidden="false" customHeight="false" outlineLevel="0" collapsed="false">
      <c r="B15" s="71" t="s">
        <v>350</v>
      </c>
      <c r="C15" s="86" t="str">
        <f aca="false">IF(C5="Severe correction (-35%)","Continue contributions — best discount of cycle",IF(C5="Strong rally (+30%)","Rebalance — sell appreciated to fund underweight",IF(C5="Add $500/mo","Highest-leverage move you control",IF(C5="Pause 12 months","Recoverable. Resume when income returns.","Continue on schedule"))))</f>
        <v>Continue on schedule</v>
      </c>
    </row>
    <row r="17" customFormat="false" ht="31.5" hidden="false" customHeight="true" outlineLevel="0" collapsed="false">
      <c r="B17" s="22" t="s">
        <v>351</v>
      </c>
      <c r="C17" s="22"/>
      <c r="D17" s="22"/>
      <c r="E17" s="22"/>
      <c r="F17" s="22"/>
      <c r="G17" s="22"/>
      <c r="H17" s="22"/>
      <c r="I17" s="22"/>
      <c r="J17" s="22"/>
      <c r="K17" s="22"/>
      <c r="L17" s="22"/>
    </row>
    <row r="18" customFormat="false" ht="31.5" hidden="false" customHeight="true" outlineLevel="0" collapsed="false">
      <c r="B18" s="22"/>
      <c r="C18" s="22"/>
      <c r="D18" s="22"/>
      <c r="E18" s="22"/>
      <c r="F18" s="22"/>
      <c r="G18" s="22"/>
      <c r="H18" s="22"/>
      <c r="I18" s="22"/>
      <c r="J18" s="22"/>
      <c r="K18" s="22"/>
      <c r="L18" s="22"/>
    </row>
    <row r="22" customFormat="false" ht="3" hidden="false" customHeight="true" outlineLevel="0" collapsed="false">
      <c r="A22" s="9"/>
      <c r="B22" s="9"/>
      <c r="C22" s="9"/>
      <c r="D22" s="9"/>
      <c r="E22" s="9"/>
      <c r="F22" s="9"/>
      <c r="G22" s="9"/>
      <c r="H22" s="9"/>
      <c r="I22" s="9"/>
      <c r="J22" s="9"/>
      <c r="K22" s="9"/>
      <c r="L22" s="9"/>
      <c r="M22" s="9"/>
    </row>
    <row r="23" customFormat="false" ht="21.75" hidden="false" customHeight="true" outlineLevel="0" collapsed="false">
      <c r="A23" s="23" t="s">
        <v>49</v>
      </c>
      <c r="B23" s="23"/>
      <c r="C23" s="23"/>
      <c r="D23" s="23"/>
      <c r="E23" s="23"/>
      <c r="F23" s="23"/>
      <c r="G23" s="23"/>
      <c r="H23" s="23"/>
      <c r="I23" s="23"/>
      <c r="J23" s="23"/>
      <c r="K23" s="23"/>
      <c r="L23" s="23"/>
      <c r="M23" s="23"/>
    </row>
  </sheetData>
  <mergeCells count="17">
    <mergeCell ref="A1:C1"/>
    <mergeCell ref="D1:I1"/>
    <mergeCell ref="J1:M1"/>
    <mergeCell ref="A2:B2"/>
    <mergeCell ref="C2:D2"/>
    <mergeCell ref="E2:F2"/>
    <mergeCell ref="G2:H2"/>
    <mergeCell ref="I2:J2"/>
    <mergeCell ref="K2:M2"/>
    <mergeCell ref="A3:M3"/>
    <mergeCell ref="A4:M4"/>
    <mergeCell ref="B6:L6"/>
    <mergeCell ref="B7:L7"/>
    <mergeCell ref="B8:L8"/>
    <mergeCell ref="B17:L18"/>
    <mergeCell ref="A22:M22"/>
    <mergeCell ref="A23:M23"/>
  </mergeCells>
  <dataValidations count="1">
    <dataValidation allowBlank="false" errorStyle="stop" operator="between" showDropDown="false" showErrorMessage="false" showInputMessage="false" sqref="C5" type="list">
      <formula1>"Mild correction (-10%),Moderate correction (-20%),Severe correction (-35%),Mild rally (+15%),Strong rally (+30%),Add $500/mo,Add $1,000/mo,Pause 12 months"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33"/>
    <pageSetUpPr fitToPage="false"/>
  </sheetPr>
  <dimension ref="A1:M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34375" defaultRowHeight="15" customHeight="false"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60"/>
    <col collapsed="false" customWidth="true" hidden="false" outlineLevel="0" max="4" min="4" style="0" width="8"/>
    <col collapsed="false" customWidth="true" hidden="false" outlineLevel="0" max="12" min="5" style="0" width="10"/>
    <col collapsed="false" customWidth="true" hidden="false" outlineLevel="0" max="13" min="13" style="0" width="2"/>
  </cols>
  <sheetData>
    <row r="1" customFormat="false" ht="31.5" hidden="false" customHeight="true" outlineLevel="0" collapsed="false">
      <c r="A1" s="1" t="s">
        <v>0</v>
      </c>
      <c r="B1" s="1"/>
      <c r="C1" s="1"/>
      <c r="D1" s="2" t="s">
        <v>1</v>
      </c>
      <c r="E1" s="2"/>
      <c r="F1" s="2"/>
      <c r="G1" s="2"/>
      <c r="H1" s="2"/>
      <c r="I1" s="2"/>
      <c r="J1" s="3" t="s">
        <v>352</v>
      </c>
      <c r="K1" s="3"/>
      <c r="L1" s="3"/>
      <c r="M1" s="3"/>
    </row>
    <row r="2" customFormat="false" ht="54" hidden="false" customHeight="true" outlineLevel="0" collapsed="false">
      <c r="A2" s="38" t="s">
        <v>353</v>
      </c>
      <c r="B2" s="38"/>
      <c r="C2" s="38" t="s">
        <v>354</v>
      </c>
      <c r="D2" s="38"/>
      <c r="E2" s="38" t="s">
        <v>355</v>
      </c>
      <c r="F2" s="38"/>
      <c r="G2" s="38" t="s">
        <v>356</v>
      </c>
      <c r="H2" s="38"/>
      <c r="I2" s="38" t="s">
        <v>357</v>
      </c>
      <c r="J2" s="38"/>
      <c r="K2" s="38" t="s">
        <v>358</v>
      </c>
      <c r="L2" s="38"/>
      <c r="M2" s="38"/>
    </row>
    <row r="3" customFormat="false" ht="21.75" hidden="false" customHeight="true" outlineLevel="0" collapsed="false">
      <c r="A3" s="5" t="s">
        <v>3</v>
      </c>
      <c r="B3" s="5"/>
      <c r="C3" s="5"/>
      <c r="D3" s="5"/>
      <c r="E3" s="5"/>
      <c r="F3" s="5"/>
      <c r="G3" s="5"/>
      <c r="H3" s="5"/>
      <c r="I3" s="5"/>
      <c r="J3" s="5"/>
      <c r="K3" s="5"/>
      <c r="L3" s="5"/>
      <c r="M3" s="5"/>
    </row>
    <row r="4" customFormat="false" ht="24" hidden="false" customHeight="true" outlineLevel="0" collapsed="false">
      <c r="A4" s="6" t="s">
        <v>359</v>
      </c>
      <c r="B4" s="6"/>
      <c r="C4" s="6"/>
      <c r="D4" s="6"/>
      <c r="E4" s="6"/>
      <c r="F4" s="6"/>
      <c r="G4" s="6"/>
      <c r="H4" s="6"/>
      <c r="I4" s="6"/>
      <c r="J4" s="6"/>
      <c r="K4" s="6"/>
      <c r="L4" s="6"/>
      <c r="M4" s="6"/>
    </row>
    <row r="6" customFormat="false" ht="37.5" hidden="false" customHeight="true" outlineLevel="0" collapsed="false">
      <c r="B6" s="87" t="s">
        <v>360</v>
      </c>
      <c r="C6" s="87"/>
    </row>
    <row r="7" customFormat="false" ht="21.75" hidden="false" customHeight="true" outlineLevel="0" collapsed="false">
      <c r="B7" s="88" t="s">
        <v>361</v>
      </c>
      <c r="C7" s="88"/>
    </row>
    <row r="10" customFormat="false" ht="25.5" hidden="false" customHeight="true" outlineLevel="0" collapsed="false">
      <c r="A10" s="7" t="s">
        <v>362</v>
      </c>
      <c r="B10" s="7"/>
      <c r="C10" s="7"/>
      <c r="D10" s="7"/>
      <c r="E10" s="7"/>
      <c r="F10" s="7"/>
      <c r="G10" s="7"/>
      <c r="H10" s="7"/>
      <c r="I10" s="7"/>
      <c r="J10" s="7"/>
      <c r="K10" s="7"/>
      <c r="L10" s="7"/>
      <c r="M10" s="7"/>
    </row>
    <row r="11" customFormat="false" ht="18" hidden="false" customHeight="true" outlineLevel="0" collapsed="false">
      <c r="A11" s="8" t="s">
        <v>363</v>
      </c>
      <c r="B11" s="8"/>
      <c r="C11" s="8"/>
      <c r="D11" s="8"/>
      <c r="E11" s="8"/>
      <c r="F11" s="8"/>
      <c r="G11" s="8"/>
      <c r="H11" s="8"/>
      <c r="I11" s="8"/>
      <c r="J11" s="8"/>
      <c r="K11" s="8"/>
      <c r="L11" s="8"/>
      <c r="M11" s="8"/>
    </row>
    <row r="12" customFormat="false" ht="3" hidden="false" customHeight="true" outlineLevel="0" collapsed="false">
      <c r="A12" s="9"/>
      <c r="B12" s="9"/>
      <c r="C12" s="9"/>
      <c r="D12" s="9"/>
      <c r="E12" s="9"/>
      <c r="F12" s="9"/>
      <c r="G12" s="9"/>
      <c r="H12" s="9"/>
      <c r="I12" s="9"/>
      <c r="J12" s="9"/>
      <c r="K12" s="9"/>
      <c r="L12" s="9"/>
      <c r="M12" s="9"/>
    </row>
    <row r="14" customFormat="false" ht="27.75" hidden="false" customHeight="true" outlineLevel="0" collapsed="false">
      <c r="B14" s="16" t="s">
        <v>50</v>
      </c>
      <c r="C14" s="89" t="s">
        <v>364</v>
      </c>
    </row>
    <row r="15" customFormat="false" ht="27.75" hidden="false" customHeight="true" outlineLevel="0" collapsed="false">
      <c r="B15" s="16" t="s">
        <v>2</v>
      </c>
      <c r="C15" s="89" t="s">
        <v>365</v>
      </c>
    </row>
    <row r="16" customFormat="false" ht="27.75" hidden="false" customHeight="true" outlineLevel="0" collapsed="false">
      <c r="B16" s="16" t="s">
        <v>63</v>
      </c>
      <c r="C16" s="89" t="s">
        <v>366</v>
      </c>
    </row>
    <row r="17" customFormat="false" ht="27.75" hidden="false" customHeight="true" outlineLevel="0" collapsed="false">
      <c r="B17" s="16" t="s">
        <v>83</v>
      </c>
      <c r="C17" s="89" t="s">
        <v>367</v>
      </c>
    </row>
    <row r="18" customFormat="false" ht="27.75" hidden="false" customHeight="true" outlineLevel="0" collapsed="false">
      <c r="B18" s="16" t="s">
        <v>95</v>
      </c>
      <c r="C18" s="89" t="s">
        <v>368</v>
      </c>
    </row>
    <row r="19" customFormat="false" ht="27.75" hidden="false" customHeight="true" outlineLevel="0" collapsed="false">
      <c r="B19" s="16" t="s">
        <v>121</v>
      </c>
      <c r="C19" s="89" t="s">
        <v>369</v>
      </c>
    </row>
    <row r="20" customFormat="false" ht="27.75" hidden="false" customHeight="true" outlineLevel="0" collapsed="false">
      <c r="B20" s="16" t="s">
        <v>130</v>
      </c>
      <c r="C20" s="89" t="s">
        <v>370</v>
      </c>
    </row>
    <row r="21" customFormat="false" ht="27.75" hidden="false" customHeight="true" outlineLevel="0" collapsed="false">
      <c r="B21" s="16" t="s">
        <v>140</v>
      </c>
      <c r="C21" s="89" t="s">
        <v>371</v>
      </c>
    </row>
    <row r="22" customFormat="false" ht="27.75" hidden="false" customHeight="true" outlineLevel="0" collapsed="false">
      <c r="B22" s="16" t="s">
        <v>372</v>
      </c>
      <c r="C22" s="89" t="s">
        <v>373</v>
      </c>
    </row>
    <row r="23" customFormat="false" ht="27.75" hidden="false" customHeight="true" outlineLevel="0" collapsed="false">
      <c r="B23" s="16" t="s">
        <v>374</v>
      </c>
      <c r="C23" s="89" t="s">
        <v>375</v>
      </c>
    </row>
    <row r="24" customFormat="false" ht="27.75" hidden="false" customHeight="true" outlineLevel="0" collapsed="false">
      <c r="B24" s="16" t="s">
        <v>376</v>
      </c>
      <c r="C24" s="89" t="s">
        <v>377</v>
      </c>
    </row>
    <row r="25" customFormat="false" ht="27.75" hidden="false" customHeight="true" outlineLevel="0" collapsed="false">
      <c r="B25" s="16" t="s">
        <v>378</v>
      </c>
      <c r="C25" s="89" t="s">
        <v>379</v>
      </c>
    </row>
    <row r="26" customFormat="false" ht="27.75" hidden="false" customHeight="true" outlineLevel="0" collapsed="false">
      <c r="B26" s="16" t="s">
        <v>380</v>
      </c>
      <c r="C26" s="89" t="s">
        <v>381</v>
      </c>
    </row>
    <row r="27" customFormat="false" ht="27.75" hidden="false" customHeight="true" outlineLevel="0" collapsed="false">
      <c r="B27" s="16" t="s">
        <v>382</v>
      </c>
      <c r="C27" s="89" t="s">
        <v>383</v>
      </c>
    </row>
    <row r="28" customFormat="false" ht="27.75" hidden="false" customHeight="true" outlineLevel="0" collapsed="false">
      <c r="B28" s="16" t="s">
        <v>384</v>
      </c>
      <c r="C28" s="89" t="s">
        <v>385</v>
      </c>
    </row>
    <row r="29" customFormat="false" ht="27.75" hidden="false" customHeight="true" outlineLevel="0" collapsed="false">
      <c r="B29" s="16" t="s">
        <v>386</v>
      </c>
      <c r="C29" s="89" t="s">
        <v>387</v>
      </c>
    </row>
    <row r="30" customFormat="false" ht="27.75" hidden="false" customHeight="true" outlineLevel="0" collapsed="false">
      <c r="B30" s="16" t="s">
        <v>388</v>
      </c>
      <c r="C30" s="89" t="s">
        <v>389</v>
      </c>
    </row>
    <row r="31" customFormat="false" ht="27.75" hidden="false" customHeight="true" outlineLevel="0" collapsed="false">
      <c r="B31" s="16" t="s">
        <v>390</v>
      </c>
      <c r="C31" s="89" t="s">
        <v>391</v>
      </c>
    </row>
    <row r="32" customFormat="false" ht="27.75" hidden="false" customHeight="true" outlineLevel="0" collapsed="false">
      <c r="B32" s="16" t="s">
        <v>392</v>
      </c>
      <c r="C32" s="89" t="s">
        <v>393</v>
      </c>
    </row>
    <row r="35" customFormat="false" ht="25.5" hidden="false" customHeight="true" outlineLevel="0" collapsed="false">
      <c r="A35" s="7" t="s">
        <v>394</v>
      </c>
      <c r="B35" s="7"/>
      <c r="C35" s="7"/>
      <c r="D35" s="7"/>
      <c r="E35" s="7"/>
      <c r="F35" s="7"/>
      <c r="G35" s="7"/>
      <c r="H35" s="7"/>
      <c r="I35" s="7"/>
      <c r="J35" s="7"/>
      <c r="K35" s="7"/>
      <c r="L35" s="7"/>
      <c r="M35" s="7"/>
    </row>
    <row r="36" customFormat="false" ht="3" hidden="false" customHeight="true" outlineLevel="0" collapsed="false">
      <c r="A36" s="9"/>
      <c r="B36" s="9"/>
      <c r="C36" s="9"/>
      <c r="D36" s="9"/>
      <c r="E36" s="9"/>
      <c r="F36" s="9"/>
      <c r="G36" s="9"/>
      <c r="H36" s="9"/>
      <c r="I36" s="9"/>
      <c r="J36" s="9"/>
      <c r="K36" s="9"/>
      <c r="L36" s="9"/>
      <c r="M36" s="9"/>
    </row>
    <row r="38" customFormat="false" ht="36" hidden="false" customHeight="true" outlineLevel="0" collapsed="false">
      <c r="B38" s="90" t="s">
        <v>395</v>
      </c>
      <c r="C38" s="91" t="s">
        <v>396</v>
      </c>
    </row>
    <row r="40" customFormat="false" ht="36" hidden="false" customHeight="true" outlineLevel="0" collapsed="false">
      <c r="B40" s="90" t="s">
        <v>397</v>
      </c>
      <c r="C40" s="91" t="s">
        <v>398</v>
      </c>
    </row>
    <row r="42" customFormat="false" ht="36" hidden="false" customHeight="true" outlineLevel="0" collapsed="false">
      <c r="B42" s="90" t="s">
        <v>399</v>
      </c>
      <c r="C42" s="91" t="s">
        <v>400</v>
      </c>
    </row>
    <row r="44" customFormat="false" ht="36" hidden="false" customHeight="true" outlineLevel="0" collapsed="false">
      <c r="B44" s="90" t="s">
        <v>401</v>
      </c>
      <c r="C44" s="91" t="s">
        <v>402</v>
      </c>
    </row>
    <row r="46" customFormat="false" ht="36" hidden="false" customHeight="true" outlineLevel="0" collapsed="false">
      <c r="B46" s="90" t="s">
        <v>403</v>
      </c>
      <c r="C46" s="91" t="s">
        <v>404</v>
      </c>
    </row>
    <row r="48" customFormat="false" ht="36" hidden="false" customHeight="true" outlineLevel="0" collapsed="false">
      <c r="B48" s="90" t="s">
        <v>405</v>
      </c>
      <c r="C48" s="91" t="s">
        <v>406</v>
      </c>
    </row>
    <row r="50" customFormat="false" ht="36" hidden="false" customHeight="true" outlineLevel="0" collapsed="false">
      <c r="B50" s="90" t="s">
        <v>407</v>
      </c>
      <c r="C50" s="91" t="s">
        <v>408</v>
      </c>
    </row>
    <row r="52" customFormat="false" ht="36" hidden="false" customHeight="true" outlineLevel="0" collapsed="false">
      <c r="B52" s="90" t="s">
        <v>409</v>
      </c>
      <c r="C52" s="91" t="s">
        <v>410</v>
      </c>
    </row>
    <row r="57" customFormat="false" ht="3" hidden="false" customHeight="true" outlineLevel="0" collapsed="false">
      <c r="A57" s="9"/>
      <c r="B57" s="9"/>
      <c r="C57" s="9"/>
      <c r="D57" s="9"/>
      <c r="E57" s="9"/>
      <c r="F57" s="9"/>
      <c r="G57" s="9"/>
      <c r="H57" s="9"/>
      <c r="I57" s="9"/>
      <c r="J57" s="9"/>
      <c r="K57" s="9"/>
      <c r="L57" s="9"/>
      <c r="M57" s="9"/>
    </row>
    <row r="58" customFormat="false" ht="21.75" hidden="false" customHeight="true" outlineLevel="0" collapsed="false">
      <c r="A58" s="23" t="s">
        <v>49</v>
      </c>
      <c r="B58" s="23"/>
      <c r="C58" s="23"/>
      <c r="D58" s="23"/>
      <c r="E58" s="23"/>
      <c r="F58" s="23"/>
      <c r="G58" s="23"/>
      <c r="H58" s="23"/>
      <c r="I58" s="23"/>
      <c r="J58" s="23"/>
      <c r="K58" s="23"/>
      <c r="L58" s="23"/>
      <c r="M58" s="23"/>
    </row>
  </sheetData>
  <mergeCells count="20">
    <mergeCell ref="A1:C1"/>
    <mergeCell ref="D1:I1"/>
    <mergeCell ref="J1:M1"/>
    <mergeCell ref="A2:B2"/>
    <mergeCell ref="C2:D2"/>
    <mergeCell ref="E2:F2"/>
    <mergeCell ref="G2:H2"/>
    <mergeCell ref="I2:J2"/>
    <mergeCell ref="K2:M2"/>
    <mergeCell ref="A3:M3"/>
    <mergeCell ref="A4:M4"/>
    <mergeCell ref="B6:C6"/>
    <mergeCell ref="B7:C7"/>
    <mergeCell ref="A10:M10"/>
    <mergeCell ref="A11:M11"/>
    <mergeCell ref="A12:M12"/>
    <mergeCell ref="A35:M35"/>
    <mergeCell ref="A36:M36"/>
    <mergeCell ref="A57:M57"/>
    <mergeCell ref="A58:M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Personal Finance</cp:category>
  <dcterms:created xsi:type="dcterms:W3CDTF">2026-05-23T12:52:54Z</dcterms:created>
  <dc:creator>Lime Premium Studios</dc:creator>
  <dc:description>Investment Portfolio Tracker Pro v1.0 — Lime Premium Studios. 19 tabs. Google Sheets only — GOOGLEFINANCE drives live prices. Privacy-first.</dc:description>
  <cp:keywords>investment portfolio tracker stock tracker dividend tracker crypto tracker ETF tracker GOOGLEFINANCE tax loss harvesting risk metrics lime premium studios</cp:keywords>
  <dc:language>en-US</dc:language>
  <cp:lastModifiedBy>Lime Premium Studios</cp:lastModifiedBy>
  <dcterms:modified xsi:type="dcterms:W3CDTF">2026-05-23T14:14:57Z</dcterms:modified>
  <cp:revision>0</cp:revision>
  <dc:subject>Personal finance · investment portfolio · FIRE · asset allocation · tax-loss harvesting</dc:subject>
  <dc:title>Investment Portfolio Tracker — Pro</dc:title>
</cp:coreProperties>
</file>

<file path=docProps/custom.xml><?xml version="1.0" encoding="utf-8"?>
<Properties xmlns="http://schemas.openxmlformats.org/officeDocument/2006/custom-properties" xmlns:vt="http://schemas.openxmlformats.org/officeDocument/2006/docPropsVTypes"/>
</file>