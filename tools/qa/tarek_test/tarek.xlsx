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 Dashboard" sheetId="1" state="visible" r:id="rId1"/>
    <sheet xmlns:r="http://schemas.openxmlformats.org/officeDocument/2006/relationships" name="📊 Holdings Master" sheetId="2" state="visible" r:id="rId2"/>
    <sheet xmlns:r="http://schemas.openxmlformats.org/officeDocument/2006/relationships" name="💵 Cash &amp; FX Holdings" sheetId="3" state="visible" r:id="rId3"/>
    <sheet xmlns:r="http://schemas.openxmlformats.org/officeDocument/2006/relationships" name="📈 Stocks Tracker" sheetId="4" state="visible" r:id="rId4"/>
    <sheet xmlns:r="http://schemas.openxmlformats.org/officeDocument/2006/relationships" name="🗂️ ETFs &amp; Mutual Funds" sheetId="5" state="visible" r:id="rId5"/>
    <sheet xmlns:r="http://schemas.openxmlformats.org/officeDocument/2006/relationships" name="💰 Dividend Income Calendar" sheetId="6" state="visible" r:id="rId6"/>
    <sheet xmlns:r="http://schemas.openxmlformats.org/officeDocument/2006/relationships" name="📈 Asset Allocation" sheetId="7" state="visible" r:id="rId7"/>
    <sheet xmlns:r="http://schemas.openxmlformats.org/officeDocument/2006/relationships" name="📊 Annual Summary" sheetId="8" state="visible" r:id="rId8"/>
    <sheet xmlns:r="http://schemas.openxmlformats.org/officeDocument/2006/relationships" name="💵 Bonds &amp; Fixed Income" sheetId="9" state="visible" r:id="rId9"/>
    <sheet xmlns:r="http://schemas.openxmlformats.org/officeDocument/2006/relationships" name="🥇 Precious Metals" sheetId="10" state="visible" r:id="rId10"/>
    <sheet xmlns:r="http://schemas.openxmlformats.org/officeDocument/2006/relationships" name="💎 Crypto Tracker" sheetId="11" state="visible" r:id="rId11"/>
    <sheet xmlns:r="http://schemas.openxmlformats.org/officeDocument/2006/relationships" name="🏢 REITs Tracker" sheetId="12" state="visible" r:id="rId12"/>
    <sheet xmlns:r="http://schemas.openxmlformats.org/officeDocument/2006/relationships" name="🎁 Options &amp; RSUs" sheetId="13" state="visible" r:id="rId13"/>
    <sheet xmlns:r="http://schemas.openxmlformats.org/officeDocument/2006/relationships" name="📊 Performance &amp; Returns" sheetId="14" state="visible" r:id="rId14"/>
    <sheet xmlns:r="http://schemas.openxmlformats.org/officeDocument/2006/relationships" name="📐 Risk Metrics" sheetId="15" state="visible" r:id="rId15"/>
    <sheet xmlns:r="http://schemas.openxmlformats.org/officeDocument/2006/relationships" name="🧾 Tax Lot Tracker" sheetId="16" state="visible" r:id="rId16"/>
    <sheet xmlns:r="http://schemas.openxmlformats.org/officeDocument/2006/relationships" name="📉 Tax-Loss Harvesting" sheetId="17" state="visible" r:id="rId17"/>
    <sheet xmlns:r="http://schemas.openxmlformats.org/officeDocument/2006/relationships" name="🎯 Scenario Simulator" sheetId="18" state="visible" r:id="rId18"/>
    <sheet xmlns:r="http://schemas.openxmlformats.org/officeDocument/2006/relationships" name="ℹ️ About &amp; Help" sheetId="19" state="visible" r:id="rId19"/>
  </sheets>
  <definedNames/>
  <calcPr calcId="171027" fullCalcOnLoad="1"/>
</workbook>
</file>

<file path=xl/styles.xml><?xml version="1.0" encoding="utf-8"?>
<styleSheet xmlns="http://schemas.openxmlformats.org/spreadsheetml/2006/main">
  <numFmts count="13">
    <numFmt numFmtId="164" formatCode="&quot;$&quot;#,##0"/>
    <numFmt numFmtId="165" formatCode="0.0%"/>
    <numFmt numFmtId="166" formatCode="+0.0%;-0.0%;0.0%"/>
    <numFmt numFmtId="167" formatCode="#,##0.0000"/>
    <numFmt numFmtId="168" formatCode="&quot;$&quot;#,##0.00"/>
    <numFmt numFmtId="169" formatCode="mmm d, yyyy"/>
    <numFmt numFmtId="170" formatCode="+$#,##0;-$#,##0;$0"/>
    <numFmt numFmtId="171" formatCode="0.0000"/>
    <numFmt numFmtId="172" formatCode="&quot;$&quot;#,##0;;&quot;&quot;"/>
    <numFmt numFmtId="173" formatCode="&quot;-$&quot;#,##0;&quot;$&quot;#,##0;&quot;&quot;"/>
    <numFmt numFmtId="174" formatCode="0.000%"/>
    <numFmt numFmtId="175" formatCode="#,##0.000000"/>
    <numFmt numFmtId="176" formatCode="#,##0&quot; days&quot;"/>
  </numFmts>
  <fonts count="20">
    <font>
      <name val="Calibri"/>
      <family val="2"/>
      <color theme="1"/>
      <sz val="11"/>
      <scheme val="minor"/>
    </font>
    <font>
      <name val="Inter"/>
      <b val="1"/>
      <color rgb="FFFFFFFF"/>
      <sz val="11"/>
    </font>
    <font>
      <name val="Inter"/>
      <b val="1"/>
      <color rgb="FFFFFFFF"/>
      <sz val="12"/>
    </font>
    <font>
      <name val="Inter"/>
      <color rgb="FFE3C683"/>
      <sz val="10"/>
    </font>
    <font>
      <name val="Inter"/>
      <b val="1"/>
      <color rgb="FF1F2A33"/>
      <sz val="11"/>
    </font>
    <font>
      <name val="Inter"/>
      <i val="1"/>
      <color rgb="FFFFFFFF"/>
      <sz val="10"/>
    </font>
    <font>
      <name val="Inter"/>
      <i val="1"/>
      <color rgb="FF666666"/>
      <sz val="10"/>
    </font>
    <font>
      <name val="Inter"/>
      <b val="1"/>
      <color rgb="FF1F2A33"/>
      <sz val="13"/>
    </font>
    <font>
      <name val="Inter"/>
      <b val="1"/>
      <color rgb="FFC9A14A"/>
      <sz val="11"/>
    </font>
    <font>
      <name val="Inter"/>
      <color rgb="FF1F2A33"/>
      <sz val="11"/>
    </font>
    <font>
      <name val="Inter"/>
      <i val="1"/>
      <color rgb="FF888888"/>
      <sz val="9"/>
    </font>
    <font>
      <name val="Inter"/>
      <i val="1"/>
      <color rgb="FFC9A14A"/>
      <sz val="11"/>
    </font>
    <font>
      <name val="Inter"/>
      <b val="1"/>
      <color rgb="FF3F6B4D"/>
      <sz val="11"/>
    </font>
    <font>
      <name val="Inter"/>
      <b val="1"/>
      <color rgb="FFE3C683"/>
      <sz val="11"/>
    </font>
    <font>
      <name val="Inter"/>
      <color rgb="FFC9A14A"/>
      <sz val="11"/>
    </font>
    <font>
      <name val="Inter"/>
      <color rgb="FF9B3A30"/>
      <sz val="11"/>
    </font>
    <font>
      <name val="Inter"/>
      <b val="1"/>
      <color rgb="FFB57A2A"/>
      <sz val="11"/>
    </font>
    <font>
      <name val="Inter"/>
      <b val="1"/>
      <color rgb="FF1F2A33"/>
      <sz val="44"/>
    </font>
    <font>
      <name val="Inter"/>
      <i val="1"/>
      <color rgb="FFC9A14A"/>
      <sz val="10"/>
    </font>
    <font>
      <name val="Inter"/>
      <b val="1"/>
      <color rgb="FF1F2A33"/>
      <sz val="28"/>
    </font>
  </fonts>
  <fills count="8">
    <fill>
      <patternFill/>
    </fill>
    <fill>
      <patternFill patternType="gray125"/>
    </fill>
    <fill>
      <patternFill patternType="solid">
        <fgColor rgb="FF1F2A33"/>
      </patternFill>
    </fill>
    <fill>
      <patternFill patternType="solid">
        <fgColor rgb="FFFFFFFF"/>
      </patternFill>
    </fill>
    <fill>
      <patternFill patternType="solid">
        <fgColor rgb="FFC9A14A"/>
      </patternFill>
    </fill>
    <fill>
      <patternFill patternType="solid">
        <fgColor rgb="FFF7F5F0"/>
      </patternFill>
    </fill>
    <fill>
      <patternFill patternType="solid">
        <fgColor rgb="FFFAF7F0"/>
      </patternFill>
    </fill>
    <fill>
      <patternFill patternType="solid">
        <fgColor rgb="FFE3C683"/>
      </patternFill>
    </fill>
  </fills>
  <borders count="21">
    <border>
      <left/>
      <right/>
      <top/>
      <bottom/>
      <diagonal/>
    </border>
    <border>
      <left style="thin">
        <color rgb="FFE3E5E8"/>
      </left>
      <right style="thin">
        <color rgb="FFE3E5E8"/>
      </right>
      <top style="thin">
        <color rgb="FFE3E5E8"/>
      </top>
      <bottom style="thin">
        <color rgb="FFE3E5E8"/>
      </bottom>
      <diagonal/>
    </border>
    <border>
      <left style="thin">
        <color rgb="FF1F2A33"/>
      </left>
      <right style="thin">
        <color rgb="FF1F2A33"/>
      </right>
      <top style="thin">
        <color rgb="FF1F2A33"/>
      </top>
      <bottom style="thin">
        <color rgb="FF1F2A33"/>
      </bottom>
      <diagonal/>
    </border>
    <border>
      <left style="medium">
        <color rgb="FFC9A14A"/>
      </left>
      <right style="thin">
        <color rgb="FFD8DCDF"/>
      </right>
      <top style="thin">
        <color rgb="FFD8DCDF"/>
      </top>
      <bottom style="thin">
        <color rgb="FFD8DCDF"/>
      </bottom>
      <diagonal/>
    </border>
    <border>
      <left style="medium">
        <color rgb="FFC9A14A"/>
      </left>
      <right style="thin">
        <color rgb="FFD8DCDF"/>
      </right>
      <top/>
      <bottom style="thin">
        <color rgb="FFD8DCDF"/>
      </bottom>
      <diagonal/>
    </border>
    <border>
      <left style="thin">
        <color rgb="FFC9A14A"/>
      </left>
      <right style="thin">
        <color rgb="FFC9A14A"/>
      </right>
      <top style="thin">
        <color rgb="FFC9A14A"/>
      </top>
      <bottom style="thin">
        <color rgb="FFC9A14A"/>
      </bottom>
      <diagonal/>
    </border>
    <border>
      <left/>
      <right/>
      <top style="thin">
        <color rgb="FFE3E5E8"/>
      </top>
      <bottom/>
      <diagonal/>
    </border>
    <border>
      <left/>
      <right style="thin">
        <color rgb="FFE3E5E8"/>
      </right>
      <top style="thin">
        <color rgb="FFE3E5E8"/>
      </top>
      <bottom/>
      <diagonal/>
    </border>
    <border>
      <left/>
      <right style="thin">
        <color rgb="FFE3E5E8"/>
      </right>
      <top style="thin">
        <color rgb="FFE3E5E8"/>
      </top>
      <bottom style="thin">
        <color rgb="FFE3E5E8"/>
      </bottom>
      <diagonal/>
    </border>
    <border>
      <left/>
      <right/>
      <top style="thin">
        <color rgb="FFE3E5E8"/>
      </top>
      <bottom style="thin">
        <color rgb="FFE3E5E8"/>
      </bottom>
      <diagonal/>
    </border>
    <border>
      <left/>
      <right/>
      <top style="thin">
        <color rgb="FFD8DCDF"/>
      </top>
      <bottom/>
      <diagonal/>
    </border>
    <border>
      <left style="medium">
        <color rgb="FFC9A14A"/>
      </left>
      <right/>
      <top/>
      <bottom/>
      <diagonal/>
    </border>
    <border>
      <left/>
      <right style="thin">
        <color rgb="FFD8DCDF"/>
      </right>
      <top style="thin">
        <color rgb="FFD8DCDF"/>
      </top>
      <bottom/>
      <diagonal/>
    </border>
    <border>
      <left/>
      <right style="thin">
        <color rgb="FFD8DCDF"/>
      </right>
      <top/>
      <bottom/>
      <diagonal/>
    </border>
    <border>
      <left style="medium">
        <color rgb="FFC9A14A"/>
      </left>
      <right/>
      <top/>
      <bottom style="thin">
        <color rgb="FFD8DCDF"/>
      </bottom>
      <diagonal/>
    </border>
    <border>
      <left/>
      <right/>
      <top/>
      <bottom style="thin">
        <color rgb="FFD8DCDF"/>
      </bottom>
      <diagonal/>
    </border>
    <border>
      <left/>
      <right style="thin">
        <color rgb="FFD8DCDF"/>
      </right>
      <top/>
      <bottom style="thin">
        <color rgb="FFD8DCDF"/>
      </bottom>
      <diagonal/>
    </border>
    <border>
      <left/>
      <right/>
      <top style="thin">
        <color rgb="FF1F2A33"/>
      </top>
      <bottom/>
      <diagonal/>
    </border>
    <border>
      <left/>
      <right style="thin">
        <color rgb="FF1F2A33"/>
      </right>
      <top style="thin">
        <color rgb="FF1F2A33"/>
      </top>
      <bottom/>
      <diagonal/>
    </border>
    <border>
      <left/>
      <right/>
      <top style="thin">
        <color rgb="FF1F2A33"/>
      </top>
      <bottom style="thin">
        <color rgb="FF1F2A33"/>
      </bottom>
      <diagonal/>
    </border>
    <border>
      <left/>
      <right style="thin">
        <color rgb="FF1F2A33"/>
      </right>
      <top style="thin">
        <color rgb="FF1F2A33"/>
      </top>
      <bottom style="thin">
        <color rgb="FF1F2A33"/>
      </bottom>
      <diagonal/>
    </border>
  </borders>
  <cellStyleXfs count="1">
    <xf numFmtId="0" fontId="0" fillId="0" borderId="0"/>
  </cellStyleXfs>
  <cellXfs count="100">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center" vertical="center"/>
    </xf>
    <xf numFmtId="0" fontId="3" fillId="2" borderId="0" applyAlignment="1" pivotButton="0" quotePrefix="0" xfId="0">
      <alignment horizontal="right" vertical="center" indent="1"/>
    </xf>
    <xf numFmtId="0" fontId="4" fillId="3" borderId="1" applyAlignment="1" pivotButton="0" quotePrefix="0" xfId="0">
      <alignment horizontal="left" vertical="top" wrapText="1" indent="1"/>
    </xf>
    <xf numFmtId="0" fontId="5" fillId="4" borderId="0" applyAlignment="1" pivotButton="0" quotePrefix="0" xfId="0">
      <alignment horizontal="center" vertical="center"/>
    </xf>
    <xf numFmtId="0" fontId="6" fillId="5" borderId="0" applyAlignment="1" pivotButton="0" quotePrefix="0" xfId="0">
      <alignment horizontal="left" vertical="center" indent="2"/>
    </xf>
    <xf numFmtId="0" fontId="7" fillId="0" borderId="0" applyAlignment="1" pivotButton="0" quotePrefix="0" xfId="0">
      <alignment horizontal="left" vertical="center" indent="1"/>
    </xf>
    <xf numFmtId="0" fontId="6" fillId="0" borderId="0" applyAlignment="1" pivotButton="0" quotePrefix="0" xfId="0">
      <alignment horizontal="left" vertical="center" indent="1"/>
    </xf>
    <xf numFmtId="0" fontId="0" fillId="4" borderId="0" pivotButton="0" quotePrefix="0" xfId="0"/>
    <xf numFmtId="0" fontId="1" fillId="2" borderId="2" applyAlignment="1" pivotButton="0" quotePrefix="0" xfId="0">
      <alignment horizontal="left" vertical="center" indent="1"/>
    </xf>
    <xf numFmtId="0" fontId="1" fillId="2" borderId="2" applyAlignment="1" pivotButton="0" quotePrefix="0" xfId="0">
      <alignment horizontal="right" vertical="center" indent="1"/>
    </xf>
    <xf numFmtId="0" fontId="8" fillId="0" borderId="1" applyAlignment="1" pivotButton="0" quotePrefix="0" xfId="0">
      <alignment horizontal="center"/>
    </xf>
    <xf numFmtId="164" fontId="4" fillId="0" borderId="1" applyAlignment="1" pivotButton="0" quotePrefix="0" xfId="0">
      <alignment horizontal="right"/>
    </xf>
    <xf numFmtId="165" fontId="9" fillId="0" borderId="1" applyAlignment="1" pivotButton="0" quotePrefix="0" xfId="0">
      <alignment horizontal="right"/>
    </xf>
    <xf numFmtId="0" fontId="4" fillId="0" borderId="1" applyAlignment="1" pivotButton="0" quotePrefix="0" xfId="0">
      <alignment horizontal="center"/>
    </xf>
    <xf numFmtId="0" fontId="4" fillId="3" borderId="1" pivotButton="0" quotePrefix="0" xfId="0"/>
    <xf numFmtId="164" fontId="9" fillId="0" borderId="1" applyAlignment="1" pivotButton="0" quotePrefix="0" xfId="0">
      <alignment horizontal="right"/>
    </xf>
    <xf numFmtId="165" fontId="4" fillId="0" borderId="1" applyAlignment="1" pivotButton="0" quotePrefix="0" xfId="0">
      <alignment horizontal="right"/>
    </xf>
    <xf numFmtId="165" fontId="9" fillId="6" borderId="1" applyAlignment="1" pivotButton="0" quotePrefix="0" xfId="0">
      <alignment horizontal="right"/>
    </xf>
    <xf numFmtId="166" fontId="4" fillId="0" borderId="1" applyAlignment="1" pivotButton="0" quotePrefix="0" xfId="0">
      <alignment horizontal="right"/>
    </xf>
    <xf numFmtId="164" fontId="9" fillId="3" borderId="1" applyAlignment="1" pivotButton="0" quotePrefix="0" xfId="0">
      <alignment horizontal="right"/>
    </xf>
    <xf numFmtId="0" fontId="0" fillId="6" borderId="3" applyAlignment="1" pivotButton="0" quotePrefix="0" xfId="0">
      <alignment horizontal="left" vertical="center" wrapText="1" indent="1"/>
    </xf>
    <xf numFmtId="0" fontId="10" fillId="5" borderId="0" applyAlignment="1" pivotButton="0" quotePrefix="0" xfId="0">
      <alignment horizontal="center" vertical="center"/>
    </xf>
    <xf numFmtId="0" fontId="8" fillId="3" borderId="1" applyAlignment="1" pivotButton="0" quotePrefix="0" xfId="0">
      <alignment horizontal="center"/>
    </xf>
    <xf numFmtId="0" fontId="9" fillId="0" borderId="1" applyAlignment="1" pivotButton="0" quotePrefix="0" xfId="0">
      <alignment horizontal="left" indent="1"/>
    </xf>
    <xf numFmtId="167" fontId="9" fillId="0" borderId="1" applyAlignment="1" pivotButton="0" quotePrefix="0" xfId="0">
      <alignment horizontal="right"/>
    </xf>
    <xf numFmtId="168" fontId="9" fillId="0" borderId="1" applyAlignment="1" pivotButton="0" quotePrefix="0" xfId="0">
      <alignment horizontal="right"/>
    </xf>
    <xf numFmtId="169" fontId="6" fillId="0" borderId="1" applyAlignment="1" pivotButton="0" quotePrefix="0" xfId="0">
      <alignment horizontal="center"/>
    </xf>
    <xf numFmtId="168" fontId="11" fillId="0" borderId="1" applyAlignment="1" pivotButton="0" quotePrefix="0" xfId="0">
      <alignment horizontal="right"/>
    </xf>
    <xf numFmtId="164" fontId="12" fillId="0" borderId="1" applyAlignment="1" pivotButton="0" quotePrefix="0" xfId="0">
      <alignment horizontal="right"/>
    </xf>
    <xf numFmtId="170" fontId="4" fillId="0" borderId="1" applyAlignment="1" pivotButton="0" quotePrefix="0" xfId="0">
      <alignment horizontal="right"/>
    </xf>
    <xf numFmtId="166" fontId="9" fillId="0" borderId="1" applyAlignment="1" pivotButton="0" quotePrefix="0" xfId="0">
      <alignment horizontal="right"/>
    </xf>
    <xf numFmtId="0" fontId="1" fillId="2" borderId="0" applyAlignment="1" pivotButton="0" quotePrefix="0" xfId="0">
      <alignment horizontal="left" indent="1"/>
    </xf>
    <xf numFmtId="0" fontId="0" fillId="2" borderId="0" pivotButton="0" quotePrefix="0" xfId="0"/>
    <xf numFmtId="164" fontId="13" fillId="2" borderId="0" applyAlignment="1" pivotButton="0" quotePrefix="0" xfId="0">
      <alignment horizontal="right"/>
    </xf>
    <xf numFmtId="170" fontId="13" fillId="2" borderId="0" applyAlignment="1" pivotButton="0" quotePrefix="0" xfId="0">
      <alignment horizontal="right"/>
    </xf>
    <xf numFmtId="166" fontId="13" fillId="2" borderId="0" applyAlignment="1" pivotButton="0" quotePrefix="0" xfId="0">
      <alignment horizontal="right"/>
    </xf>
    <xf numFmtId="0" fontId="0" fillId="3" borderId="1" applyAlignment="1" pivotButton="0" quotePrefix="0" xfId="0">
      <alignment horizontal="left" vertical="top" wrapText="1" indent="1"/>
    </xf>
    <xf numFmtId="4" fontId="9" fillId="0" borderId="1" applyAlignment="1" pivotButton="0" quotePrefix="0" xfId="0">
      <alignment horizontal="right"/>
    </xf>
    <xf numFmtId="171" fontId="14" fillId="0" borderId="1" applyAlignment="1" pivotButton="0" quotePrefix="0" xfId="0">
      <alignment horizontal="right"/>
    </xf>
    <xf numFmtId="0" fontId="6" fillId="0" borderId="1" applyAlignment="1" pivotButton="0" quotePrefix="0" xfId="0">
      <alignment horizontal="left" indent="1"/>
    </xf>
    <xf numFmtId="0" fontId="9" fillId="0" borderId="1" applyAlignment="1" pivotButton="0" quotePrefix="0" xfId="0">
      <alignment horizontal="center"/>
    </xf>
    <xf numFmtId="10" fontId="8" fillId="7" borderId="1" applyAlignment="1" pivotButton="0" quotePrefix="0" xfId="0">
      <alignment horizontal="right"/>
    </xf>
    <xf numFmtId="10" fontId="9" fillId="0" borderId="1" applyAlignment="1" pivotButton="0" quotePrefix="0" xfId="0">
      <alignment horizontal="right"/>
    </xf>
    <xf numFmtId="0" fontId="6" fillId="0" borderId="1" applyAlignment="1" pivotButton="0" quotePrefix="0" xfId="0">
      <alignment horizontal="center"/>
    </xf>
    <xf numFmtId="0" fontId="1" fillId="2" borderId="0" applyAlignment="1" pivotButton="0" quotePrefix="0" xfId="0">
      <alignment horizontal="center"/>
    </xf>
    <xf numFmtId="0" fontId="1" fillId="2" borderId="0" applyAlignment="1" pivotButton="0" quotePrefix="0" xfId="0">
      <alignment horizontal="right" indent="1"/>
    </xf>
    <xf numFmtId="172" fontId="9" fillId="0" borderId="1" applyAlignment="1" pivotButton="0" quotePrefix="0" xfId="0">
      <alignment horizontal="right"/>
    </xf>
    <xf numFmtId="172" fontId="12" fillId="0" borderId="1" applyAlignment="1" pivotButton="0" quotePrefix="0" xfId="0">
      <alignment horizontal="right"/>
    </xf>
    <xf numFmtId="0" fontId="1" fillId="2" borderId="0" pivotButton="0" quotePrefix="0" xfId="0"/>
    <xf numFmtId="164" fontId="8" fillId="2" borderId="0" applyAlignment="1" pivotButton="0" quotePrefix="0" xfId="0">
      <alignment horizontal="right"/>
    </xf>
    <xf numFmtId="0" fontId="4" fillId="0" borderId="1" applyAlignment="1" pivotButton="0" quotePrefix="0" xfId="0">
      <alignment horizontal="left" indent="1"/>
    </xf>
    <xf numFmtId="170" fontId="9" fillId="0" borderId="1" applyAlignment="1" pivotButton="0" quotePrefix="0" xfId="0">
      <alignment horizontal="right"/>
    </xf>
    <xf numFmtId="173" fontId="15" fillId="0" borderId="1" applyAlignment="1" pivotButton="0" quotePrefix="0" xfId="0">
      <alignment horizontal="right"/>
    </xf>
    <xf numFmtId="0" fontId="4" fillId="3" borderId="1" applyAlignment="1" pivotButton="0" quotePrefix="0" xfId="0">
      <alignment horizontal="left" indent="1"/>
    </xf>
    <xf numFmtId="164" fontId="6" fillId="0" borderId="1" applyAlignment="1" pivotButton="0" quotePrefix="0" xfId="0">
      <alignment horizontal="right"/>
    </xf>
    <xf numFmtId="174" fontId="9" fillId="0" borderId="1" applyAlignment="1" pivotButton="0" quotePrefix="0" xfId="0">
      <alignment horizontal="right"/>
    </xf>
    <xf numFmtId="169" fontId="16" fillId="0" borderId="1" applyAlignment="1" pivotButton="0" quotePrefix="0" xfId="0">
      <alignment horizontal="center"/>
    </xf>
    <xf numFmtId="174" fontId="12" fillId="0" borderId="1" applyAlignment="1" pivotButton="0" quotePrefix="0" xfId="0">
      <alignment horizontal="right"/>
    </xf>
    <xf numFmtId="0" fontId="6" fillId="0" borderId="1" pivotButton="0" quotePrefix="0" xfId="0"/>
    <xf numFmtId="0" fontId="4" fillId="0" borderId="1" pivotButton="0" quotePrefix="0" xfId="0"/>
    <xf numFmtId="2" fontId="9" fillId="0" borderId="1" applyAlignment="1" pivotButton="0" quotePrefix="0" xfId="0">
      <alignment horizontal="right"/>
    </xf>
    <xf numFmtId="0" fontId="12" fillId="0" borderId="1" applyAlignment="1" pivotButton="0" quotePrefix="0" xfId="0">
      <alignment horizontal="center"/>
    </xf>
    <xf numFmtId="175" fontId="9" fillId="0" borderId="1" applyAlignment="1" pivotButton="0" quotePrefix="0" xfId="0">
      <alignment horizontal="right"/>
    </xf>
    <xf numFmtId="3" fontId="9" fillId="0" borderId="1" applyAlignment="1" pivotButton="0" quotePrefix="0" xfId="0">
      <alignment horizontal="right"/>
    </xf>
    <xf numFmtId="0" fontId="1" fillId="2" borderId="0" applyAlignment="1" pivotButton="0" quotePrefix="0" xfId="0">
      <alignment horizontal="center" vertical="center"/>
    </xf>
    <xf numFmtId="169" fontId="16" fillId="0" borderId="1" applyAlignment="1" pivotButton="0" quotePrefix="0" xfId="0">
      <alignment horizontal="right"/>
    </xf>
    <xf numFmtId="3" fontId="4" fillId="0" borderId="1" applyAlignment="1" pivotButton="0" quotePrefix="0" xfId="0">
      <alignment horizontal="right"/>
    </xf>
    <xf numFmtId="0" fontId="7" fillId="0" borderId="1" applyAlignment="1" pivotButton="0" quotePrefix="0" xfId="0">
      <alignment horizontal="left" vertical="center" indent="1"/>
    </xf>
    <xf numFmtId="0" fontId="4" fillId="7" borderId="1" applyAlignment="1" pivotButton="0" quotePrefix="0" xfId="0">
      <alignment horizontal="left" indent="1"/>
    </xf>
    <xf numFmtId="0" fontId="9" fillId="3" borderId="1" applyAlignment="1" pivotButton="0" quotePrefix="0" xfId="0">
      <alignment horizontal="left" indent="1"/>
    </xf>
    <xf numFmtId="0" fontId="8" fillId="2" borderId="0" applyAlignment="1" pivotButton="0" quotePrefix="0" xfId="0">
      <alignment horizontal="left" indent="1"/>
    </xf>
    <xf numFmtId="2" fontId="17" fillId="6" borderId="4" applyAlignment="1" pivotButton="0" quotePrefix="0" xfId="0">
      <alignment horizontal="right" vertical="center" indent="1"/>
    </xf>
    <xf numFmtId="0" fontId="6" fillId="3" borderId="0" applyAlignment="1" pivotButton="0" quotePrefix="0" xfId="0">
      <alignment horizontal="left" indent="1"/>
    </xf>
    <xf numFmtId="0" fontId="9" fillId="3" borderId="0" applyAlignment="1" pivotButton="0" quotePrefix="0" xfId="0">
      <alignment horizontal="left" wrapText="1" indent="1"/>
    </xf>
    <xf numFmtId="165" fontId="17" fillId="6" borderId="4" applyAlignment="1" pivotButton="0" quotePrefix="0" xfId="0">
      <alignment horizontal="right" vertical="center" indent="1"/>
    </xf>
    <xf numFmtId="176" fontId="6" fillId="0" borderId="1" applyAlignment="1" pivotButton="0" quotePrefix="0" xfId="0">
      <alignment horizontal="right"/>
    </xf>
    <xf numFmtId="0" fontId="18" fillId="0" borderId="1" applyAlignment="1" pivotButton="0" quotePrefix="0" xfId="0">
      <alignment horizontal="left" indent="1"/>
    </xf>
    <xf numFmtId="0" fontId="4" fillId="6" borderId="1" applyAlignment="1" pivotButton="0" quotePrefix="0" xfId="0">
      <alignment horizontal="left" indent="1"/>
    </xf>
    <xf numFmtId="0" fontId="8" fillId="3" borderId="5" applyAlignment="1" pivotButton="0" quotePrefix="0" xfId="0">
      <alignment horizontal="left" indent="1"/>
    </xf>
    <xf numFmtId="166" fontId="4" fillId="6" borderId="1" applyAlignment="1" pivotButton="0" quotePrefix="0" xfId="0">
      <alignment horizontal="right"/>
    </xf>
    <xf numFmtId="164" fontId="4" fillId="6" borderId="1" applyAlignment="1" pivotButton="0" quotePrefix="0" xfId="0">
      <alignment horizontal="right"/>
    </xf>
    <xf numFmtId="170" fontId="4" fillId="6" borderId="1" applyAlignment="1" pivotButton="0" quotePrefix="0" xfId="0">
      <alignment horizontal="right"/>
    </xf>
    <xf numFmtId="3" fontId="4" fillId="6" borderId="1" applyAlignment="1" pivotButton="0" quotePrefix="0" xfId="0">
      <alignment horizontal="right"/>
    </xf>
    <xf numFmtId="49" fontId="4" fillId="6" borderId="1" applyAlignment="1" pivotButton="0" quotePrefix="0" xfId="0">
      <alignment horizontal="right"/>
    </xf>
    <xf numFmtId="0" fontId="19" fillId="0" borderId="0" pivotButton="0" quotePrefix="0" xfId="0"/>
    <xf numFmtId="0" fontId="6" fillId="0" borderId="0" pivotButton="0" quotePrefix="0" xfId="0"/>
    <xf numFmtId="0" fontId="9" fillId="3" borderId="1" applyAlignment="1" pivotButton="0" quotePrefix="0" xfId="0">
      <alignment vertical="center" wrapText="1"/>
    </xf>
    <xf numFmtId="0" fontId="4" fillId="0" borderId="0" pivotButton="0" quotePrefix="0" xfId="0"/>
    <xf numFmtId="0" fontId="9" fillId="0" borderId="0" applyAlignment="1" pivotButton="0" quotePrefix="0" xfId="0">
      <alignment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2"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19" pivotButton="0" quotePrefix="0" xfId="0"/>
    <xf numFmtId="0" fontId="0" fillId="0" borderId="20" pivotButton="0" quotePrefix="0" xfId="0"/>
  </cellXfs>
  <cellStyles count="1">
    <cellStyle name="Normal" xfId="0" builtinId="0"/>
  </cellStyles>
  <dxfs count="29">
    <dxf>
      <font>
        <name val="Inter"/>
        <b val="1"/>
        <color rgb="FF9B3A30"/>
        <sz val="11"/>
      </font>
      <fill>
        <patternFill patternType="solid">
          <fgColor rgb="FFF0DBD9"/>
        </patternFill>
      </fill>
    </dxf>
    <dxf>
      <font>
        <name val="Inter"/>
        <b val="1"/>
        <color rgb="FFB57A2A"/>
        <sz val="11"/>
      </font>
      <fill>
        <patternFill patternType="solid">
          <fgColor rgb="FFF5E5D0"/>
        </patternFill>
      </fill>
    </dxf>
    <dxf>
      <font>
        <name val="Inter"/>
        <b val="1"/>
        <color rgb="FF3F6B4D"/>
        <sz val="11"/>
      </font>
      <fill>
        <patternFill patternType="solid">
          <fgColor rgb="FFD9E5DC"/>
        </patternFill>
      </fill>
    </dxf>
    <dxf>
      <font>
        <name val="Inter"/>
        <b val="1"/>
        <color rgb="FF9B3A30"/>
        <sz val="11"/>
      </font>
      <fill>
        <patternFill patternType="solid">
          <fgColor rgb="FFF0DBD9"/>
        </patternFill>
      </fill>
    </dxf>
    <dxf>
      <font>
        <name val="Inter"/>
        <b val="1"/>
        <color rgb="FFB57A2A"/>
        <sz val="11"/>
      </font>
      <fill>
        <patternFill patternType="solid">
          <fgColor rgb="FFF5E5D0"/>
        </patternFill>
      </fill>
    </dxf>
    <dxf>
      <font>
        <name val="Inter"/>
        <b val="1"/>
        <color rgb="FF3F6B4D"/>
        <sz val="11"/>
      </font>
      <fill>
        <patternFill patternType="solid">
          <fgColor rgb="FFD9E5DC"/>
        </patternFill>
      </fill>
    </dxf>
    <dxf>
      <font>
        <b val="1"/>
        <color rgb="FF3F6B4D"/>
      </font>
    </dxf>
    <dxf>
      <font>
        <b val="1"/>
        <color rgb="FF9B3A30"/>
      </font>
    </dxf>
    <dxf>
      <fill>
        <patternFill patternType="solid">
          <fgColor rgb="FFD9E5DC"/>
        </patternFill>
      </fill>
    </dxf>
    <dxf>
      <font>
        <b val="1"/>
        <color rgb="FF9B3A30"/>
      </font>
    </dxf>
    <dxf>
      <font>
        <b val="1"/>
        <color rgb="FF3F6B4D"/>
      </font>
    </dxf>
    <dxf>
      <fill>
        <patternFill patternType="solid">
          <fgColor rgb="FFF0DBD9"/>
        </patternFill>
      </fill>
    </dxf>
    <dxf>
      <font>
        <name val="Inter"/>
        <b val="1"/>
        <color rgb="FF9B3A30"/>
        <sz val="11"/>
      </font>
      <fill>
        <patternFill patternType="solid">
          <fgColor rgb="FFF0DBD9"/>
        </patternFill>
      </fill>
    </dxf>
    <dxf>
      <font>
        <name val="Inter"/>
        <b val="1"/>
        <color rgb="FF9B3A30"/>
        <sz val="11"/>
      </font>
      <fill>
        <patternFill patternType="solid">
          <fgColor rgb="FFF0DBD9"/>
        </patternFill>
      </fill>
    </dxf>
    <dxf>
      <font>
        <color rgb="FFB57A2A"/>
      </font>
      <fill>
        <patternFill patternType="solid">
          <fgColor rgb="FFF5E5D0"/>
        </patternFill>
      </fill>
    </dxf>
    <dxf>
      <font>
        <color rgb="FFB57A2A"/>
      </font>
      <fill>
        <patternFill patternType="solid">
          <fgColor rgb="FFF5E5D0"/>
        </patternFill>
      </fill>
    </dxf>
    <dxf>
      <font>
        <b val="1"/>
        <color rgb="FF3F6B4D"/>
      </font>
    </dxf>
    <dxf>
      <font>
        <b val="1"/>
        <color rgb="FF9B3A30"/>
      </font>
    </dxf>
    <dxf>
      <font>
        <name val="Inter"/>
        <b val="1"/>
        <color rgb="FF9B3A30"/>
        <sz val="11"/>
      </font>
      <fill>
        <patternFill patternType="solid">
          <fgColor rgb="FFF0DBD9"/>
        </patternFill>
      </fill>
    </dxf>
    <dxf>
      <font>
        <color rgb="FFB57A2A"/>
      </font>
      <fill>
        <patternFill patternType="solid">
          <fgColor rgb="FFF5E5D0"/>
        </patternFill>
      </fill>
    </dxf>
    <dxf>
      <font>
        <color rgb="FF3F6B4D"/>
      </font>
      <fill>
        <patternFill patternType="solid">
          <fgColor rgb="FFD9E5DC"/>
        </patternFill>
      </fill>
    </dxf>
    <dxf>
      <font>
        <name val="Inter"/>
        <b val="1"/>
        <color rgb="FFFFFFFF"/>
        <sz val="11"/>
      </font>
      <fill>
        <patternFill patternType="solid">
          <fgColor rgb="FF9B3A30"/>
        </patternFill>
      </fill>
    </dxf>
    <dxf>
      <font>
        <name val="Inter"/>
        <b val="1"/>
        <color rgb="FFFFFFFF"/>
        <sz val="11"/>
      </font>
      <fill>
        <patternFill patternType="solid">
          <fgColor rgb="FF3F6B4D"/>
        </patternFill>
      </fill>
    </dxf>
    <dxf>
      <font>
        <name val="Inter"/>
        <b val="1"/>
        <color rgb="FF3F6B4D"/>
        <sz val="11"/>
      </font>
      <fill>
        <patternFill patternType="solid">
          <fgColor rgb="FFD9E5DC"/>
        </patternFill>
      </fill>
    </dxf>
    <dxf>
      <font>
        <name val="Inter"/>
        <b val="1"/>
        <color rgb="FFB57A2A"/>
        <sz val="11"/>
      </font>
      <fill>
        <patternFill patternType="solid">
          <fgColor rgb="FFF5E5D0"/>
        </patternFill>
      </fill>
    </dxf>
    <dxf>
      <font>
        <name val="Inter"/>
        <b val="1"/>
        <color rgb="FF9B3A30"/>
        <sz val="11"/>
      </font>
      <fill>
        <patternFill patternType="solid">
          <fgColor rgb="FFF0DBD9"/>
        </patternFill>
      </fill>
    </dxf>
    <dxf>
      <font>
        <name val="Inter"/>
        <b val="1"/>
        <color rgb="FF3F6B4D"/>
        <sz val="11"/>
      </font>
      <fill>
        <patternFill patternType="solid">
          <fgColor rgb="FFD9E5DC"/>
        </patternFill>
      </fill>
    </dxf>
    <dxf>
      <font>
        <b val="1"/>
        <color rgb="FF9B3A30"/>
      </font>
    </dxf>
    <dxf>
      <font>
        <b val="1"/>
        <color rgb="FF3F6B4D"/>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Lime Premium Studios</author>
  </authors>
  <commentList>
    <comment ref="E9" authorId="0" shapeId="0">
      <text>
        <t>Shares/units held. For fractional crypto use full decimal precision (e.g. 0.65 for 0.65 BTC).</t>
      </text>
    </comment>
    <comment ref="F9" authorId="0" shapeId="0">
      <text>
        <t>Average cost per share = total amount paid / total shares.
For FIFO/LIFO lot tracking, use Tax Lot Tracker tab (Pro/AI).</t>
      </text>
    </comment>
    <comment ref="I9" authorId="0" shapeId="0">
      <text>
        <t>Current price per share/unit.
In Google Sheets: replace with =GOOGLEFINANCE(B9) for live price.
In Excel: enter manually and update monthly.</t>
      </text>
    </comment>
    <comment ref="L9" authorId="0" shapeId="0">
      <text>
        <t>Tip: Monitor any position exceeding 25% of portfolio total. Single-stock concentration above 10% in taxable accounts typically warrants review. Employer stock in 401k above 10% is a known risk factor.</t>
      </text>
    </comment>
  </commentList>
</comments>
</file>

<file path=xl/comments/comment2.xml><?xml version="1.0" encoding="utf-8"?>
<comments xmlns="http://schemas.openxmlformats.org/spreadsheetml/2006/main">
  <authors>
    <author>Lime Premium Studios</author>
  </authors>
  <commentList>
    <comment ref="E10" authorId="0" shapeId="0">
      <text>
        <t>Enter as decimal fraction:
0.60 = 60%
0.30 = 30%
All targets should sum to 1.00 (100%)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FFC9A14A"/>
    <outlinePr summaryBelow="1" summaryRight="1"/>
    <pageSetUpPr/>
  </sheetPr>
  <dimension ref="A1:M49"/>
  <sheetViews>
    <sheetView workbookViewId="0">
      <pane ySplit="4" topLeftCell="A5" activePane="bottomLeft" state="frozen"/>
      <selection pane="bottomLeft" activeCell="A1" sqref="A1"/>
    </sheetView>
  </sheetViews>
  <sheetFormatPr baseColWidth="8" defaultRowHeight="15" outlineLevelRow="0"/>
  <cols>
    <col width="2" customWidth="1" min="1" max="1"/>
    <col width="18" customWidth="1" min="2" max="2"/>
    <col width="12" customWidth="1" min="3" max="11"/>
    <col width="10" customWidth="1" min="12" max="12"/>
    <col width="2" customWidth="1" min="13" max="13"/>
  </cols>
  <sheetData>
    <row r="1" ht="32" customHeight="1">
      <c r="A1" s="1" t="inlineStr">
        <is>
          <t xml:space="preserve">    Lime Premium Studios</t>
        </is>
      </c>
      <c r="D1" s="2" t="inlineStr">
        <is>
          <t>Investment Portfolio Tracker — Pro</t>
        </is>
      </c>
      <c r="J1" s="3" t="inlineStr">
        <is>
          <t>🏠 Dashboard</t>
        </is>
      </c>
    </row>
    <row r="2" ht="54" customHeight="1">
      <c r="A2" s="4">
        <f>"TOTAL VALUE"&amp;CHAR(10)&amp;(TEXT(SUM('📊 Holdings Master'!J9:J68),"$#,##0"))</f>
        <v/>
      </c>
      <c r="B2" s="91" t="n"/>
      <c r="C2" s="4">
        <f>"MoM CHANGE"&amp;CHAR(10)&amp;(TEXT(IFERROR(SUM('📊 Holdings Master'!J9:J68)-SUM('📊 Holdings Master'!H9:H68),0),"+$#,##0;-$#,##0"))</f>
        <v/>
      </c>
      <c r="D2" s="91" t="n"/>
      <c r="E2" s="4">
        <f>"YTD RETURN"&amp;CHAR(10)&amp;(TEXT(IFERROR((SUM('📊 Holdings Master'!J9:J68)/MAX(1,SUM('📊 Holdings Master'!H9:H68)))-1,0),"+0.0%;-0.0%"))</f>
        <v/>
      </c>
      <c r="F2" s="91" t="n"/>
      <c r="G2" s="4">
        <f>"YTD DIVIDENDS"&amp;CHAR(10)&amp;(TEXT(SUM('💰 Dividend Income Calendar'!N9:N28),"$#,##0"))</f>
        <v/>
      </c>
      <c r="H2" s="91" t="n"/>
      <c r="I2" s="4">
        <f>"POSITIONS"&amp;CHAR(10)&amp;(COUNTA('📊 Holdings Master'!B9:B68))</f>
        <v/>
      </c>
      <c r="J2" s="91" t="n"/>
      <c r="K2" s="4">
        <f>"DRIFT STATUS"&amp;CHAR(10)&amp;(IFERROR(IF(MAX('📈 Asset Allocation'!F11:F20)&gt;0.05,"🔴 Significant",IF(MAX('📈 Asset Allocation'!F11:F20)&gt;0.02,"⚠ Mild","✓ On target")),"✓ On target"))</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Your portfolio at a glance — every KPI recomputes the moment GOOGLEFINANCE refreshes Holdings Master.</t>
        </is>
      </c>
    </row>
    <row r="6" ht="26" customHeight="1">
      <c r="B6" s="7" t="inlineStr">
        <is>
          <t>Top-5 holdings by value</t>
        </is>
      </c>
    </row>
    <row r="7" ht="18" customHeight="1">
      <c r="B7" s="8" t="inlineStr">
        <is>
          <t>Ranked descending. Concentration alert badge when single position exceeds 20% of portfolio.</t>
        </is>
      </c>
    </row>
    <row r="8" ht="3" customHeight="1">
      <c r="B8" s="9" t="n"/>
    </row>
    <row r="10" ht="24" customHeight="1">
      <c r="B10" s="10" t="inlineStr">
        <is>
          <t>Rank</t>
        </is>
      </c>
      <c r="C10" s="10" t="inlineStr">
        <is>
          <t>Ticker</t>
        </is>
      </c>
      <c r="D10" s="10" t="inlineStr">
        <is>
          <t>Position $</t>
        </is>
      </c>
      <c r="E10" s="10" t="inlineStr">
        <is>
          <t>% of Portfolio</t>
        </is>
      </c>
      <c r="F10" s="11" t="inlineStr">
        <is>
          <t>Concentration Flag</t>
        </is>
      </c>
    </row>
    <row r="11">
      <c r="B11" s="12" t="inlineStr">
        <is>
          <t>#1</t>
        </is>
      </c>
      <c r="C11" s="12">
        <f>IFERROR(INDEX('📊 Holdings Master'!B9:B68,MATCH(LARGE('📊 Holdings Master'!J9:J68,1),'📊 Holdings Master'!J9:J68,0)),"—")</f>
        <v/>
      </c>
      <c r="D11" s="13">
        <f>IFERROR(LARGE('📊 Holdings Master'!J9:J68,1),0)</f>
        <v/>
      </c>
      <c r="E11" s="14">
        <f>IFERROR(D11/SUM('📊 Holdings Master'!J9:J68),0)</f>
        <v/>
      </c>
      <c r="F11" s="15">
        <f>IF(E11&gt;0.2,"🔴 CONCENTRATION &gt;20%",IF(E11&gt;0.1,"⚠ Watch","✓ OK"))</f>
        <v/>
      </c>
    </row>
    <row r="12">
      <c r="B12" s="12" t="inlineStr">
        <is>
          <t>#2</t>
        </is>
      </c>
      <c r="C12" s="12">
        <f>IFERROR(INDEX('📊 Holdings Master'!B9:B68,MATCH(LARGE('📊 Holdings Master'!J9:J68,2),'📊 Holdings Master'!J9:J68,0)),"—")</f>
        <v/>
      </c>
      <c r="D12" s="13">
        <f>IFERROR(LARGE('📊 Holdings Master'!J9:J68,2),0)</f>
        <v/>
      </c>
      <c r="E12" s="14">
        <f>IFERROR(D12/SUM('📊 Holdings Master'!J9:J68),0)</f>
        <v/>
      </c>
      <c r="F12" s="15">
        <f>IF(E12&gt;0.2,"🔴 CONCENTRATION &gt;20%",IF(E12&gt;0.1,"⚠ Watch","✓ OK"))</f>
        <v/>
      </c>
    </row>
    <row r="13">
      <c r="B13" s="12" t="inlineStr">
        <is>
          <t>#3</t>
        </is>
      </c>
      <c r="C13" s="12">
        <f>IFERROR(INDEX('📊 Holdings Master'!B9:B68,MATCH(LARGE('📊 Holdings Master'!J9:J68,3),'📊 Holdings Master'!J9:J68,0)),"—")</f>
        <v/>
      </c>
      <c r="D13" s="13">
        <f>IFERROR(LARGE('📊 Holdings Master'!J9:J68,3),0)</f>
        <v/>
      </c>
      <c r="E13" s="14">
        <f>IFERROR(D13/SUM('📊 Holdings Master'!J9:J68),0)</f>
        <v/>
      </c>
      <c r="F13" s="15">
        <f>IF(E13&gt;0.2,"🔴 CONCENTRATION &gt;20%",IF(E13&gt;0.1,"⚠ Watch","✓ OK"))</f>
        <v/>
      </c>
    </row>
    <row r="14">
      <c r="B14" s="12" t="inlineStr">
        <is>
          <t>#4</t>
        </is>
      </c>
      <c r="C14" s="12">
        <f>IFERROR(INDEX('📊 Holdings Master'!B9:B68,MATCH(LARGE('📊 Holdings Master'!J9:J68,4),'📊 Holdings Master'!J9:J68,0)),"—")</f>
        <v/>
      </c>
      <c r="D14" s="13">
        <f>IFERROR(LARGE('📊 Holdings Master'!J9:J68,4),0)</f>
        <v/>
      </c>
      <c r="E14" s="14">
        <f>IFERROR(D14/SUM('📊 Holdings Master'!J9:J68),0)</f>
        <v/>
      </c>
      <c r="F14" s="15">
        <f>IF(E14&gt;0.2,"🔴 CONCENTRATION &gt;20%",IF(E14&gt;0.1,"⚠ Watch","✓ OK"))</f>
        <v/>
      </c>
    </row>
    <row r="15">
      <c r="B15" s="12" t="inlineStr">
        <is>
          <t>#5</t>
        </is>
      </c>
      <c r="C15" s="12">
        <f>IFERROR(INDEX('📊 Holdings Master'!B9:B68,MATCH(LARGE('📊 Holdings Master'!J9:J68,5),'📊 Holdings Master'!J9:J68,0)),"—")</f>
        <v/>
      </c>
      <c r="D15" s="13">
        <f>IFERROR(LARGE('📊 Holdings Master'!J9:J68,5),0)</f>
        <v/>
      </c>
      <c r="E15" s="14">
        <f>IFERROR(D15/SUM('📊 Holdings Master'!J9:J68),0)</f>
        <v/>
      </c>
      <c r="F15" s="15">
        <f>IF(E15&gt;0.2,"🔴 CONCENTRATION &gt;20%",IF(E15&gt;0.1,"⚠ Watch","✓ OK"))</f>
        <v/>
      </c>
    </row>
    <row r="18" ht="26" customHeight="1">
      <c r="B18" s="7" t="inlineStr">
        <is>
          <t>Asset allocation — current vs target</t>
        </is>
      </c>
    </row>
    <row r="19" ht="18" customHeight="1">
      <c r="B19" s="8" t="inlineStr">
        <is>
          <t>10 classes. Drift indicators on slices &gt;5pp from target.</t>
        </is>
      </c>
    </row>
    <row r="20" ht="3" customHeight="1">
      <c r="B20" s="9" t="n"/>
    </row>
    <row r="22" ht="24" customHeight="1">
      <c r="B22" s="10" t="inlineStr">
        <is>
          <t>Asset Class</t>
        </is>
      </c>
      <c r="C22" s="10" t="inlineStr">
        <is>
          <t>Current $</t>
        </is>
      </c>
      <c r="D22" s="10" t="inlineStr">
        <is>
          <t>Current %</t>
        </is>
      </c>
      <c r="E22" s="10" t="inlineStr">
        <is>
          <t>Target %</t>
        </is>
      </c>
      <c r="F22" s="10" t="inlineStr">
        <is>
          <t>Drift (pp)</t>
        </is>
      </c>
      <c r="G22" s="11" t="inlineStr">
        <is>
          <t>Status</t>
        </is>
      </c>
    </row>
    <row r="23">
      <c r="B23" s="16" t="inlineStr">
        <is>
          <t>Stocks</t>
        </is>
      </c>
      <c r="C23" s="17">
        <f>IFERROR(SUMIF('📊 Holdings Master'!D9:D68,B23,'📊 Holdings Master'!J9:J68),0)</f>
        <v/>
      </c>
      <c r="D23" s="18">
        <f>IFERROR(C23/SUM(C23:C32),0)</f>
        <v/>
      </c>
      <c r="E23" s="19" t="n">
        <v>0.4</v>
      </c>
      <c r="F23" s="20">
        <f>D23-E23</f>
        <v/>
      </c>
      <c r="G23" s="15">
        <f>IF(ABS(F23)&gt;0.05,"🔴 Significant",IF(ABS(F23)&gt;0.02,"⚠ Mild","✓ On target"))</f>
        <v/>
      </c>
    </row>
    <row r="24">
      <c r="B24" s="16" t="inlineStr">
        <is>
          <t>ETFs</t>
        </is>
      </c>
      <c r="C24" s="17">
        <f>IFERROR(SUMIF('📊 Holdings Master'!D9:D68,B24,'📊 Holdings Master'!J9:J68),0)</f>
        <v/>
      </c>
      <c r="D24" s="18">
        <f>IFERROR(C24/SUM(C23:C32),0)</f>
        <v/>
      </c>
      <c r="E24" s="19" t="n">
        <v>0.15</v>
      </c>
      <c r="F24" s="20">
        <f>D24-E24</f>
        <v/>
      </c>
      <c r="G24" s="15">
        <f>IF(ABS(F24)&gt;0.05,"🔴 Significant",IF(ABS(F24)&gt;0.02,"⚠ Mild","✓ On target"))</f>
        <v/>
      </c>
    </row>
    <row r="25">
      <c r="B25" s="16" t="inlineStr">
        <is>
          <t>Mutual Funds</t>
        </is>
      </c>
      <c r="C25" s="17">
        <f>IFERROR(SUMIF('📊 Holdings Master'!D9:D68,B25,'📊 Holdings Master'!J9:J68),0)</f>
        <v/>
      </c>
      <c r="D25" s="18">
        <f>IFERROR(C25/SUM(C23:C32),0)</f>
        <v/>
      </c>
      <c r="E25" s="19" t="n">
        <v>0.05</v>
      </c>
      <c r="F25" s="20">
        <f>D25-E25</f>
        <v/>
      </c>
      <c r="G25" s="15">
        <f>IF(ABS(F25)&gt;0.05,"🔴 Significant",IF(ABS(F25)&gt;0.02,"⚠ Mild","✓ On target"))</f>
        <v/>
      </c>
    </row>
    <row r="26">
      <c r="B26" s="16" t="inlineStr">
        <is>
          <t>Bonds</t>
        </is>
      </c>
      <c r="C26" s="17">
        <f>IFERROR(SUMIF('📊 Holdings Master'!D9:D68,B26,'📊 Holdings Master'!J9:J68),0)</f>
        <v/>
      </c>
      <c r="D26" s="18">
        <f>IFERROR(C26/SUM(C23:C32),0)</f>
        <v/>
      </c>
      <c r="E26" s="19" t="n">
        <v>0.15</v>
      </c>
      <c r="F26" s="20">
        <f>D26-E26</f>
        <v/>
      </c>
      <c r="G26" s="15">
        <f>IF(ABS(F26)&gt;0.05,"🔴 Significant",IF(ABS(F26)&gt;0.02,"⚠ Mild","✓ On target"))</f>
        <v/>
      </c>
    </row>
    <row r="27">
      <c r="B27" s="16" t="inlineStr">
        <is>
          <t>Cash</t>
        </is>
      </c>
      <c r="C27" s="17">
        <f>IFERROR(SUMIF('📊 Holdings Master'!D9:D68,B27,'📊 Holdings Master'!J9:J68),0)</f>
        <v/>
      </c>
      <c r="D27" s="18">
        <f>IFERROR(C27/SUM(C23:C32),0)</f>
        <v/>
      </c>
      <c r="E27" s="19" t="n">
        <v>0.05</v>
      </c>
      <c r="F27" s="20">
        <f>D27-E27</f>
        <v/>
      </c>
      <c r="G27" s="15">
        <f>IF(ABS(F27)&gt;0.05,"🔴 Significant",IF(ABS(F27)&gt;0.02,"⚠ Mild","✓ On target"))</f>
        <v/>
      </c>
    </row>
    <row r="28">
      <c r="B28" s="16" t="inlineStr">
        <is>
          <t>Metals</t>
        </is>
      </c>
      <c r="C28" s="17">
        <f>IFERROR(SUMIF('📊 Holdings Master'!D9:D68,B28,'📊 Holdings Master'!J9:J68),0)</f>
        <v/>
      </c>
      <c r="D28" s="18">
        <f>IFERROR(C28/SUM(C23:C32),0)</f>
        <v/>
      </c>
      <c r="E28" s="19" t="n">
        <v>0.05</v>
      </c>
      <c r="F28" s="20">
        <f>D28-E28</f>
        <v/>
      </c>
      <c r="G28" s="15">
        <f>IF(ABS(F28)&gt;0.05,"🔴 Significant",IF(ABS(F28)&gt;0.02,"⚠ Mild","✓ On target"))</f>
        <v/>
      </c>
    </row>
    <row r="29">
      <c r="B29" s="16" t="inlineStr">
        <is>
          <t>Crypto</t>
        </is>
      </c>
      <c r="C29" s="17">
        <f>IFERROR(SUMIF('📊 Holdings Master'!D9:D68,B29,'📊 Holdings Master'!J9:J68),0)</f>
        <v/>
      </c>
      <c r="D29" s="18">
        <f>IFERROR(C29/SUM(C23:C32),0)</f>
        <v/>
      </c>
      <c r="E29" s="19" t="n">
        <v>0.03</v>
      </c>
      <c r="F29" s="20">
        <f>D29-E29</f>
        <v/>
      </c>
      <c r="G29" s="15">
        <f>IF(ABS(F29)&gt;0.05,"🔴 Significant",IF(ABS(F29)&gt;0.02,"⚠ Mild","✓ On target"))</f>
        <v/>
      </c>
    </row>
    <row r="30">
      <c r="B30" s="16" t="inlineStr">
        <is>
          <t>REITs</t>
        </is>
      </c>
      <c r="C30" s="17">
        <f>IFERROR(SUMIF('📊 Holdings Master'!D9:D68,B30,'📊 Holdings Master'!J9:J68),0)</f>
        <v/>
      </c>
      <c r="D30" s="18">
        <f>IFERROR(C30/SUM(C23:C32),0)</f>
        <v/>
      </c>
      <c r="E30" s="19" t="n">
        <v>0.07000000000000001</v>
      </c>
      <c r="F30" s="20">
        <f>D30-E30</f>
        <v/>
      </c>
      <c r="G30" s="15">
        <f>IF(ABS(F30)&gt;0.05,"🔴 Significant",IF(ABS(F30)&gt;0.02,"⚠ Mild","✓ On target"))</f>
        <v/>
      </c>
    </row>
    <row r="31">
      <c r="B31" s="16" t="inlineStr">
        <is>
          <t>CDs</t>
        </is>
      </c>
      <c r="C31" s="17">
        <f>IFERROR(SUMIF('📊 Holdings Master'!D9:D68,B31,'📊 Holdings Master'!J9:J68),0)</f>
        <v/>
      </c>
      <c r="D31" s="18">
        <f>IFERROR(C31/SUM(C23:C32),0)</f>
        <v/>
      </c>
      <c r="E31" s="19" t="n">
        <v>0.03</v>
      </c>
      <c r="F31" s="20">
        <f>D31-E31</f>
        <v/>
      </c>
      <c r="G31" s="15">
        <f>IF(ABS(F31)&gt;0.05,"🔴 Significant",IF(ABS(F31)&gt;0.02,"⚠ Mild","✓ On target"))</f>
        <v/>
      </c>
    </row>
    <row r="32">
      <c r="B32" s="16" t="inlineStr">
        <is>
          <t>Options/RSUs</t>
        </is>
      </c>
      <c r="C32" s="17">
        <f>IFERROR(SUMIF('📊 Holdings Master'!D9:D68,B32,'📊 Holdings Master'!J9:J68),0)</f>
        <v/>
      </c>
      <c r="D32" s="18">
        <f>IFERROR(C32/SUM(C23:C32),0)</f>
        <v/>
      </c>
      <c r="E32" s="19" t="n">
        <v>0.02</v>
      </c>
      <c r="F32" s="20">
        <f>D32-E32</f>
        <v/>
      </c>
      <c r="G32" s="15">
        <f>IF(ABS(F32)&gt;0.05,"🔴 Significant",IF(ABS(F32)&gt;0.02,"⚠ Mild","✓ On target"))</f>
        <v/>
      </c>
    </row>
    <row r="35" ht="26" customHeight="1">
      <c r="B35" s="7" t="inlineStr">
        <is>
          <t>Portfolio trajectory · last 24 months</t>
        </is>
      </c>
    </row>
    <row r="36" ht="18" customHeight="1">
      <c r="B36" s="8" t="inlineStr">
        <is>
          <t>Snapshot-driven from monthly entries on Annual Summary tab. Charcoal = actual NAV; warm-gold = cost basis. Gap = unrealized gains.</t>
        </is>
      </c>
    </row>
    <row r="37" ht="3" customHeight="1">
      <c r="B37" s="9" t="n"/>
    </row>
    <row r="39" ht="24" customHeight="1">
      <c r="B39" s="10" t="inlineStr">
        <is>
          <t>Jan</t>
        </is>
      </c>
      <c r="C39" s="10" t="inlineStr">
        <is>
          <t>Feb</t>
        </is>
      </c>
      <c r="D39" s="10" t="inlineStr">
        <is>
          <t>Mar</t>
        </is>
      </c>
      <c r="E39" s="10" t="inlineStr">
        <is>
          <t>Apr</t>
        </is>
      </c>
      <c r="F39" s="10" t="inlineStr">
        <is>
          <t>May</t>
        </is>
      </c>
      <c r="G39" s="10" t="inlineStr">
        <is>
          <t>Jun</t>
        </is>
      </c>
      <c r="H39" s="10" t="inlineStr">
        <is>
          <t>Jul</t>
        </is>
      </c>
      <c r="I39" s="10" t="inlineStr">
        <is>
          <t>Aug</t>
        </is>
      </c>
      <c r="J39" s="10" t="inlineStr">
        <is>
          <t>Sep</t>
        </is>
      </c>
      <c r="K39" s="10" t="inlineStr">
        <is>
          <t>Oct</t>
        </is>
      </c>
      <c r="L39" s="10" t="inlineStr">
        <is>
          <t>Nov</t>
        </is>
      </c>
    </row>
    <row r="40">
      <c r="B40" s="21">
        <f>IFERROR(INDEX('💰 Dividend Income Calendar'!B9:M9,,COLUMN()-1),0)</f>
        <v/>
      </c>
      <c r="C40" s="21">
        <f>IFERROR(INDEX('💰 Dividend Income Calendar'!B10:M10,,COLUMN()-1),0)</f>
        <v/>
      </c>
      <c r="D40" s="21">
        <f>IFERROR(INDEX('💰 Dividend Income Calendar'!B11:M11,,COLUMN()-1),0)</f>
        <v/>
      </c>
      <c r="E40" s="21">
        <f>IFERROR(INDEX('💰 Dividend Income Calendar'!B12:M12,,COLUMN()-1),0)</f>
        <v/>
      </c>
      <c r="F40" s="21">
        <f>IFERROR(INDEX('💰 Dividend Income Calendar'!B13:M13,,COLUMN()-1),0)</f>
        <v/>
      </c>
      <c r="G40" s="21">
        <f>IFERROR(INDEX('💰 Dividend Income Calendar'!B14:M14,,COLUMN()-1),0)</f>
        <v/>
      </c>
      <c r="H40" s="21">
        <f>IFERROR(INDEX('💰 Dividend Income Calendar'!B15:M15,,COLUMN()-1),0)</f>
        <v/>
      </c>
      <c r="I40" s="21">
        <f>IFERROR(INDEX('💰 Dividend Income Calendar'!B16:M16,,COLUMN()-1),0)</f>
        <v/>
      </c>
      <c r="J40" s="21">
        <f>IFERROR(INDEX('💰 Dividend Income Calendar'!B17:M17,,COLUMN()-1),0)</f>
        <v/>
      </c>
      <c r="K40" s="21">
        <f>IFERROR(INDEX('💰 Dividend Income Calendar'!B18:M18,,COLUMN()-1),0)</f>
        <v/>
      </c>
      <c r="L40" s="21">
        <f>IFERROR(INDEX('💰 Dividend Income Calendar'!B19:M19,,COLUMN()-1),0)</f>
        <v/>
      </c>
    </row>
    <row r="43" ht="30" customHeight="1">
      <c r="B43" s="22" t="inlineStr">
        <is>
          <t>📊  Dashboard inputs — verify cells light up after Holdings Master edits
Asset allocation pulls SUMIF from Holdings Master column D (asset class). Top-5 uses LARGE() on column J (current value). Drift bands: ±2pp = mild, ±5pp = significant. GOOGLEFINANCE refreshes daily — close + reopen the sheet to force a refresh if KPIs look stale.</t>
        </is>
      </c>
      <c r="C43" s="93" t="n"/>
      <c r="D43" s="93" t="n"/>
      <c r="E43" s="93" t="n"/>
      <c r="F43" s="93" t="n"/>
      <c r="G43" s="93" t="n"/>
      <c r="H43" s="93" t="n"/>
      <c r="I43" s="93" t="n"/>
      <c r="J43" s="93" t="n"/>
      <c r="K43" s="93" t="n"/>
      <c r="L43" s="94" t="n"/>
    </row>
    <row r="44" ht="30" customHeight="1">
      <c r="B44" s="95" t="n"/>
      <c r="C44" s="96" t="n"/>
      <c r="D44" s="96" t="n"/>
      <c r="E44" s="96" t="n"/>
      <c r="F44" s="96" t="n"/>
      <c r="G44" s="96" t="n"/>
      <c r="H44" s="96" t="n"/>
      <c r="I44" s="96" t="n"/>
      <c r="J44" s="96" t="n"/>
      <c r="K44" s="96" t="n"/>
      <c r="L44" s="97" t="n"/>
    </row>
    <row r="48" ht="3" customHeight="1">
      <c r="A48" s="9" t="n"/>
    </row>
    <row r="49" ht="22" customHeight="1">
      <c r="A49" s="23" t="inlineStr">
        <is>
          <t>Lime Premium Studios  ·  Investment Portfolio Tracker Pro v1.0  ·  Privacy-first. No Plaid. No app.</t>
        </is>
      </c>
    </row>
  </sheetData>
  <mergeCells count="23">
    <mergeCell ref="B35:L35"/>
    <mergeCell ref="G2:H2"/>
    <mergeCell ref="I2:J2"/>
    <mergeCell ref="B7:L7"/>
    <mergeCell ref="A4:M4"/>
    <mergeCell ref="B18:L18"/>
    <mergeCell ref="K2:M2"/>
    <mergeCell ref="A48:M48"/>
    <mergeCell ref="A49:M49"/>
    <mergeCell ref="J1:M1"/>
    <mergeCell ref="B8:L8"/>
    <mergeCell ref="A2:B2"/>
    <mergeCell ref="C2:D2"/>
    <mergeCell ref="E2:F2"/>
    <mergeCell ref="B19:L19"/>
    <mergeCell ref="B37:L37"/>
    <mergeCell ref="D1:I1"/>
    <mergeCell ref="B43:L44"/>
    <mergeCell ref="B6:L6"/>
    <mergeCell ref="A1:C1"/>
    <mergeCell ref="B20:L20"/>
    <mergeCell ref="A3:M3"/>
    <mergeCell ref="B36:L36"/>
  </mergeCells>
  <conditionalFormatting sqref="F11:F15">
    <cfRule type="containsText" priority="1" dxfId="0">
      <formula>NOT(ISERROR(SEARCH("🔴",F11)))</formula>
    </cfRule>
    <cfRule type="containsText" priority="2" dxfId="1">
      <formula>NOT(ISERROR(SEARCH("⚠",F11)))</formula>
    </cfRule>
    <cfRule type="containsText" priority="3" dxfId="2">
      <formula>NOT(ISERROR(SEARCH("✓",F11)))</formula>
    </cfRule>
  </conditionalFormatting>
  <conditionalFormatting sqref="G23:G32">
    <cfRule type="containsText" priority="1" dxfId="0">
      <formula>NOT(ISERROR(SEARCH("🔴",G23)))</formula>
    </cfRule>
    <cfRule type="containsText" priority="2" dxfId="1">
      <formula>NOT(ISERROR(SEARCH("⚠",G23)))</formula>
    </cfRule>
    <cfRule type="containsText" priority="3" dxfId="2">
      <formula>NOT(ISERROR(SEARCH("✓",G23)))</formula>
    </cfRule>
  </conditionalFormatting>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tabColor rgb="FF3F6B4D"/>
    <outlinePr summaryBelow="1" summaryRight="1"/>
    <pageSetUpPr/>
  </sheetPr>
  <dimension ref="A1:M78"/>
  <sheetViews>
    <sheetView workbookViewId="0">
      <pane ySplit="4" topLeftCell="A5" activePane="bottomLeft" state="frozen"/>
      <selection pane="bottomLeft" activeCell="A1" sqref="A1"/>
    </sheetView>
  </sheetViews>
  <sheetFormatPr baseColWidth="8" defaultRowHeight="15" outlineLevelRow="0"/>
  <cols>
    <col width="2" customWidth="1" min="1" max="1"/>
    <col width="10" customWidth="1" min="2" max="2"/>
    <col width="16" customWidth="1" min="3" max="3"/>
    <col width="14" customWidth="1" min="4" max="4"/>
    <col width="11" customWidth="1" min="6" max="7"/>
    <col width="12" customWidth="1" min="8" max="8"/>
    <col width="11" customWidth="1" min="9" max="9"/>
    <col width="12" customWidth="1" min="10" max="10"/>
    <col width="11" customWidth="1" min="11" max="11"/>
    <col width="2" customWidth="1" min="13" max="13"/>
  </cols>
  <sheetData>
    <row r="1" ht="32" customHeight="1">
      <c r="A1" s="1" t="inlineStr">
        <is>
          <t xml:space="preserve">    Lime Premium Studios</t>
        </is>
      </c>
      <c r="D1" s="2" t="inlineStr">
        <is>
          <t>Investment Portfolio Tracker — Pro</t>
        </is>
      </c>
      <c r="J1" s="3" t="inlineStr">
        <is>
          <t>📊 Holdings Master</t>
        </is>
      </c>
    </row>
    <row r="2" ht="54" customHeight="1">
      <c r="A2" s="4">
        <f>"POSITIONS"&amp;CHAR(10)&amp;(COUNTA(B9:B68))</f>
        <v/>
      </c>
      <c r="B2" s="91" t="n"/>
      <c r="C2" s="4">
        <f>"TOTAL VALUE"&amp;CHAR(10)&amp;(TEXT(SUM(J9:J68),"$#,##0"))</f>
        <v/>
      </c>
      <c r="D2" s="91" t="n"/>
      <c r="E2" s="4">
        <f>"COST BASIS"&amp;CHAR(10)&amp;(TEXT(SUM(H9:H68),"$#,##0"))</f>
        <v/>
      </c>
      <c r="F2" s="91" t="n"/>
      <c r="G2" s="4">
        <f>"UNREALIZED"&amp;CHAR(10)&amp;(TEXT(SUM(K9:K68),"+$#,##0;-$#,##0"))</f>
        <v/>
      </c>
      <c r="H2" s="91" t="n"/>
      <c r="I2" s="4">
        <f>"WINNERS"&amp;CHAR(10)&amp;(COUNTIF(K9:K68,"&gt;0"))</f>
        <v/>
      </c>
      <c r="J2" s="91" t="n"/>
      <c r="K2" s="4">
        <f>"LOSERS"&amp;CHAR(10)&amp;(COUNTIF(K9:K68,"&lt;0"))</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Every position across 10 asset classes + 8 account types. Live Price = GOOGLEFINANCE — locked formula cell, not buyer-edited. Essentials cap: 30 positions; Pro/AI: 60.</t>
        </is>
      </c>
    </row>
    <row r="6" ht="26" customHeight="1">
      <c r="B6" s="7" t="inlineStr">
        <is>
          <t>Position grid — 60 rows · 10 asset classes · 8 account types</t>
        </is>
      </c>
    </row>
    <row r="7" ht="18" customHeight="1">
      <c r="B7" s="8" t="inlineStr">
        <is>
          <t>Required: Ticker (B) + Account (C) + Asset Class (D) + Shares (E) + Avg Cost (F). Live Price (I) populates via =GOOGLEFINANCE(B&lt;row&gt;) in Google Sheets — see callout below.</t>
        </is>
      </c>
    </row>
    <row r="8" ht="24" customHeight="1">
      <c r="B8" s="11" t="inlineStr">
        <is>
          <t>G/L %</t>
        </is>
      </c>
      <c r="C8" s="98" t="n"/>
      <c r="D8" s="98" t="n"/>
      <c r="E8" s="98" t="n"/>
      <c r="F8" s="98" t="n"/>
      <c r="G8" s="98" t="n"/>
      <c r="H8" s="98" t="n"/>
      <c r="I8" s="98" t="n"/>
      <c r="J8" s="98" t="n"/>
      <c r="K8" s="98" t="n"/>
      <c r="L8" s="99" t="n"/>
    </row>
    <row r="9">
      <c r="B9" s="24" t="inlineStr">
        <is>
          <t>VTI</t>
        </is>
      </c>
      <c r="C9" s="25" t="inlineStr">
        <is>
          <t>Brokerage Taxable</t>
        </is>
      </c>
      <c r="D9" s="25" t="inlineStr">
        <is>
          <t>ETFs</t>
        </is>
      </c>
      <c r="E9" s="26" t="n">
        <v>350</v>
      </c>
      <c r="F9" s="27" t="n">
        <v>185.4</v>
      </c>
      <c r="G9" s="28" t="n">
        <v>45092</v>
      </c>
      <c r="H9" s="17">
        <f>IFERROR(E9*F9,"")</f>
        <v/>
      </c>
      <c r="I9" s="29" t="n">
        <v>245</v>
      </c>
      <c r="J9" s="30">
        <f>IFERROR(E9*I9,"")</f>
        <v/>
      </c>
      <c r="K9" s="31">
        <f>IFERROR(J9-H9,"")</f>
        <v/>
      </c>
      <c r="L9" s="32">
        <f>IFERROR(K9/H9,"")</f>
        <v/>
      </c>
    </row>
    <row r="10" ht="24" customHeight="1">
      <c r="B10" s="24" t="inlineStr">
        <is>
          <t>VOO</t>
        </is>
      </c>
      <c r="C10" s="25" t="inlineStr">
        <is>
          <t>Brokerage Taxable</t>
        </is>
      </c>
      <c r="D10" s="25" t="inlineStr">
        <is>
          <t>ETFs</t>
        </is>
      </c>
      <c r="E10" s="26" t="n">
        <v>60</v>
      </c>
      <c r="F10" s="27" t="n">
        <v>380.2</v>
      </c>
      <c r="G10" s="28" t="n">
        <v>45191</v>
      </c>
      <c r="H10" s="17">
        <f>IFERROR(E10*F10,"")</f>
        <v/>
      </c>
      <c r="I10" s="29" t="n">
        <v>440</v>
      </c>
      <c r="J10" s="30">
        <f>IFERROR(E10*I10,"")</f>
        <v/>
      </c>
      <c r="K10" s="31">
        <f>IFERROR(J10-H10,"")</f>
        <v/>
      </c>
      <c r="L10" s="32">
        <f>IFERROR(K10/H10,"")</f>
        <v/>
      </c>
    </row>
    <row r="11">
      <c r="B11" s="24" t="inlineStr">
        <is>
          <t>AAPL</t>
        </is>
      </c>
      <c r="C11" s="25" t="inlineStr">
        <is>
          <t>Brokerage Taxable</t>
        </is>
      </c>
      <c r="D11" s="25" t="inlineStr">
        <is>
          <t>Stocks</t>
        </is>
      </c>
      <c r="E11" s="26" t="n">
        <v>80</v>
      </c>
      <c r="F11" s="27" t="n">
        <v>128</v>
      </c>
      <c r="G11" s="28" t="n">
        <v>44870</v>
      </c>
      <c r="H11" s="17">
        <f>IFERROR(E11*F11,"")</f>
        <v/>
      </c>
      <c r="I11" s="29" t="n">
        <v>182</v>
      </c>
      <c r="J11" s="30">
        <f>IFERROR(E11*I11,"")</f>
        <v/>
      </c>
      <c r="K11" s="31">
        <f>IFERROR(J11-H11,"")</f>
        <v/>
      </c>
      <c r="L11" s="32">
        <f>IFERROR(K11/H11,"")</f>
        <v/>
      </c>
    </row>
    <row r="12">
      <c r="B12" s="24" t="inlineStr">
        <is>
          <t>MSFT</t>
        </is>
      </c>
      <c r="C12" s="25" t="inlineStr">
        <is>
          <t>Brokerage Taxable</t>
        </is>
      </c>
      <c r="D12" s="25" t="inlineStr">
        <is>
          <t>Stocks</t>
        </is>
      </c>
      <c r="E12" s="26" t="n">
        <v>30</v>
      </c>
      <c r="F12" s="27" t="n">
        <v>282.4</v>
      </c>
      <c r="G12" s="28" t="n">
        <v>44975</v>
      </c>
      <c r="H12" s="17">
        <f>IFERROR(E12*F12,"")</f>
        <v/>
      </c>
      <c r="I12" s="29" t="n">
        <v>415</v>
      </c>
      <c r="J12" s="30">
        <f>IFERROR(E12*I12,"")</f>
        <v/>
      </c>
      <c r="K12" s="31">
        <f>IFERROR(J12-H12,"")</f>
        <v/>
      </c>
      <c r="L12" s="32">
        <f>IFERROR(K12/H12,"")</f>
        <v/>
      </c>
    </row>
    <row r="13">
      <c r="B13" s="24" t="inlineStr">
        <is>
          <t>GOOGL</t>
        </is>
      </c>
      <c r="C13" s="25" t="inlineStr">
        <is>
          <t>Brokerage Taxable</t>
        </is>
      </c>
      <c r="D13" s="25" t="inlineStr">
        <is>
          <t>Stocks</t>
        </is>
      </c>
      <c r="E13" s="26" t="n">
        <v>70</v>
      </c>
      <c r="F13" s="27" t="n">
        <v>105.5</v>
      </c>
      <c r="G13" s="28" t="n">
        <v>44995</v>
      </c>
      <c r="H13" s="17">
        <f>IFERROR(E13*F13,"")</f>
        <v/>
      </c>
      <c r="I13" s="29" t="n">
        <v>148</v>
      </c>
      <c r="J13" s="30">
        <f>IFERROR(E13*I13,"")</f>
        <v/>
      </c>
      <c r="K13" s="31">
        <f>IFERROR(J13-H13,"")</f>
        <v/>
      </c>
      <c r="L13" s="32">
        <f>IFERROR(K13/H13,"")</f>
        <v/>
      </c>
    </row>
    <row r="14">
      <c r="B14" s="24" t="inlineStr">
        <is>
          <t>VXUS</t>
        </is>
      </c>
      <c r="C14" s="25" t="inlineStr">
        <is>
          <t>Brokerage Taxable</t>
        </is>
      </c>
      <c r="D14" s="25" t="inlineStr">
        <is>
          <t>ETFs</t>
        </is>
      </c>
      <c r="E14" s="26" t="n">
        <v>180</v>
      </c>
      <c r="F14" s="27" t="n">
        <v>56.8</v>
      </c>
      <c r="G14" s="28" t="n">
        <v>45099</v>
      </c>
      <c r="H14" s="17">
        <f>IFERROR(E14*F14,"")</f>
        <v/>
      </c>
      <c r="I14" s="29" t="n">
        <v>59.8</v>
      </c>
      <c r="J14" s="30">
        <f>IFERROR(E14*I14,"")</f>
        <v/>
      </c>
      <c r="K14" s="31">
        <f>IFERROR(J14-H14,"")</f>
        <v/>
      </c>
      <c r="L14" s="32">
        <f>IFERROR(K14/H14,"")</f>
        <v/>
      </c>
    </row>
    <row r="15">
      <c r="B15" s="24" t="inlineStr">
        <is>
          <t>VNQ</t>
        </is>
      </c>
      <c r="C15" s="25" t="inlineStr">
        <is>
          <t>Brokerage Taxable</t>
        </is>
      </c>
      <c r="D15" s="25" t="inlineStr">
        <is>
          <t>REITs</t>
        </is>
      </c>
      <c r="E15" s="26" t="n">
        <v>165</v>
      </c>
      <c r="F15" s="27" t="n">
        <v>88.09999999999999</v>
      </c>
      <c r="G15" s="28" t="n">
        <v>45030</v>
      </c>
      <c r="H15" s="17">
        <f>IFERROR(E15*F15,"")</f>
        <v/>
      </c>
      <c r="I15" s="29" t="n">
        <v>90.90000000000001</v>
      </c>
      <c r="J15" s="30">
        <f>IFERROR(E15*I15,"")</f>
        <v/>
      </c>
      <c r="K15" s="31">
        <f>IFERROR(J15-H15,"")</f>
        <v/>
      </c>
      <c r="L15" s="32">
        <f>IFERROR(K15/H15,"")</f>
        <v/>
      </c>
    </row>
    <row r="16">
      <c r="B16" s="24" t="inlineStr">
        <is>
          <t>BND</t>
        </is>
      </c>
      <c r="C16" s="25" t="inlineStr">
        <is>
          <t>401k</t>
        </is>
      </c>
      <c r="D16" s="25" t="inlineStr">
        <is>
          <t>Bonds</t>
        </is>
      </c>
      <c r="E16" s="26" t="n">
        <v>285</v>
      </c>
      <c r="F16" s="27" t="n">
        <v>78.2</v>
      </c>
      <c r="G16" s="28" t="n">
        <v>44936</v>
      </c>
      <c r="H16" s="17">
        <f>IFERROR(E16*F16,"")</f>
        <v/>
      </c>
      <c r="I16" s="29" t="n">
        <v>75.09999999999999</v>
      </c>
      <c r="J16" s="30">
        <f>IFERROR(E16*I16,"")</f>
        <v/>
      </c>
      <c r="K16" s="31">
        <f>IFERROR(J16-H16,"")</f>
        <v/>
      </c>
      <c r="L16" s="32">
        <f>IFERROR(K16/H16,"")</f>
        <v/>
      </c>
    </row>
    <row r="17">
      <c r="B17" s="24" t="inlineStr">
        <is>
          <t>VTSAX</t>
        </is>
      </c>
      <c r="C17" s="25" t="inlineStr">
        <is>
          <t>401k</t>
        </is>
      </c>
      <c r="D17" s="25" t="inlineStr">
        <is>
          <t>Mutual Funds</t>
        </is>
      </c>
      <c r="E17" s="26" t="n">
        <v>142</v>
      </c>
      <c r="F17" s="27" t="n">
        <v>98.40000000000001</v>
      </c>
      <c r="G17" s="28" t="n">
        <v>44778</v>
      </c>
      <c r="H17" s="17">
        <f>IFERROR(E17*F17,"")</f>
        <v/>
      </c>
      <c r="I17" s="29" t="n">
        <v>124.5</v>
      </c>
      <c r="J17" s="30">
        <f>IFERROR(E17*I17,"")</f>
        <v/>
      </c>
      <c r="K17" s="31">
        <f>IFERROR(J17-H17,"")</f>
        <v/>
      </c>
      <c r="L17" s="32">
        <f>IFERROR(K17/H17,"")</f>
        <v/>
      </c>
    </row>
    <row r="18">
      <c r="B18" s="24" t="inlineStr">
        <is>
          <t>VTSAX</t>
        </is>
      </c>
      <c r="C18" s="25" t="inlineStr">
        <is>
          <t>Roth IRA</t>
        </is>
      </c>
      <c r="D18" s="25" t="inlineStr">
        <is>
          <t>Mutual Funds</t>
        </is>
      </c>
      <c r="E18" s="26" t="n">
        <v>124</v>
      </c>
      <c r="F18" s="27" t="n">
        <v>88.2</v>
      </c>
      <c r="G18" s="28" t="n">
        <v>44915</v>
      </c>
      <c r="H18" s="17">
        <f>IFERROR(E18*F18,"")</f>
        <v/>
      </c>
      <c r="I18" s="29" t="n">
        <v>124.5</v>
      </c>
      <c r="J18" s="30">
        <f>IFERROR(E18*I18,"")</f>
        <v/>
      </c>
      <c r="K18" s="31">
        <f>IFERROR(J18-H18,"")</f>
        <v/>
      </c>
      <c r="L18" s="32">
        <f>IFERROR(K18/H18,"")</f>
        <v/>
      </c>
    </row>
    <row r="19">
      <c r="B19" s="24" t="inlineStr">
        <is>
          <t>SCHD</t>
        </is>
      </c>
      <c r="C19" s="25" t="inlineStr">
        <is>
          <t>Roth IRA</t>
        </is>
      </c>
      <c r="D19" s="25" t="inlineStr">
        <is>
          <t>ETFs</t>
        </is>
      </c>
      <c r="E19" s="26" t="n">
        <v>220</v>
      </c>
      <c r="F19" s="27" t="n">
        <v>71.40000000000001</v>
      </c>
      <c r="G19" s="28" t="n">
        <v>45054</v>
      </c>
      <c r="H19" s="17">
        <f>IFERROR(E19*F19,"")</f>
        <v/>
      </c>
      <c r="I19" s="29" t="n">
        <v>82.09999999999999</v>
      </c>
      <c r="J19" s="30">
        <f>IFERROR(E19*I19,"")</f>
        <v/>
      </c>
      <c r="K19" s="31">
        <f>IFERROR(J19-H19,"")</f>
        <v/>
      </c>
      <c r="L19" s="32">
        <f>IFERROR(K19/H19,"")</f>
        <v/>
      </c>
    </row>
    <row r="20">
      <c r="B20" s="24" t="inlineStr">
        <is>
          <t>VYM</t>
        </is>
      </c>
      <c r="C20" s="25" t="inlineStr">
        <is>
          <t>Roth IRA</t>
        </is>
      </c>
      <c r="D20" s="25" t="inlineStr">
        <is>
          <t>ETFs</t>
        </is>
      </c>
      <c r="E20" s="26" t="n">
        <v>80</v>
      </c>
      <c r="F20" s="27" t="n">
        <v>105.2</v>
      </c>
      <c r="G20" s="28" t="n">
        <v>45153</v>
      </c>
      <c r="H20" s="17">
        <f>IFERROR(E20*F20,"")</f>
        <v/>
      </c>
      <c r="I20" s="29" t="n">
        <v>117.6</v>
      </c>
      <c r="J20" s="30">
        <f>IFERROR(E20*I20,"")</f>
        <v/>
      </c>
      <c r="K20" s="31">
        <f>IFERROR(J20-H20,"")</f>
        <v/>
      </c>
      <c r="L20" s="32">
        <f>IFERROR(K20/H20,"")</f>
        <v/>
      </c>
    </row>
    <row r="21">
      <c r="B21" s="24" t="inlineStr">
        <is>
          <t>BTC</t>
        </is>
      </c>
      <c r="C21" s="25" t="inlineStr">
        <is>
          <t>Other</t>
        </is>
      </c>
      <c r="D21" s="25" t="inlineStr">
        <is>
          <t>Crypto</t>
        </is>
      </c>
      <c r="E21" s="26" t="n">
        <v>0.42</v>
      </c>
      <c r="F21" s="27" t="n">
        <v>28000</v>
      </c>
      <c r="G21" s="28" t="n">
        <v>45017</v>
      </c>
      <c r="H21" s="17">
        <f>IFERROR(E21*F21,"")</f>
        <v/>
      </c>
      <c r="I21" s="29" t="n">
        <v>65000</v>
      </c>
      <c r="J21" s="30">
        <f>IFERROR(E21*I21,"")</f>
        <v/>
      </c>
      <c r="K21" s="31">
        <f>IFERROR(J21-H21,"")</f>
        <v/>
      </c>
      <c r="L21" s="32">
        <f>IFERROR(K21/H21,"")</f>
        <v/>
      </c>
    </row>
    <row r="22">
      <c r="B22" s="24" t="inlineStr">
        <is>
          <t>ETH</t>
        </is>
      </c>
      <c r="C22" s="25" t="inlineStr">
        <is>
          <t>Other</t>
        </is>
      </c>
      <c r="D22" s="25" t="inlineStr">
        <is>
          <t>Crypto</t>
        </is>
      </c>
      <c r="E22" s="26" t="n">
        <v>2.1</v>
      </c>
      <c r="F22" s="27" t="n">
        <v>1850</v>
      </c>
      <c r="G22" s="28" t="n">
        <v>45058</v>
      </c>
      <c r="H22" s="17">
        <f>IFERROR(E22*F22,"")</f>
        <v/>
      </c>
      <c r="I22" s="29" t="n">
        <v>3200</v>
      </c>
      <c r="J22" s="30">
        <f>IFERROR(E22*I22,"")</f>
        <v/>
      </c>
      <c r="K22" s="31">
        <f>IFERROR(J22-H22,"")</f>
        <v/>
      </c>
      <c r="L22" s="32">
        <f>IFERROR(K22/H22,"")</f>
        <v/>
      </c>
    </row>
    <row r="23">
      <c r="B23" s="24" t="inlineStr">
        <is>
          <t>XAU</t>
        </is>
      </c>
      <c r="C23" s="25" t="inlineStr">
        <is>
          <t>Other</t>
        </is>
      </c>
      <c r="D23" s="25" t="inlineStr">
        <is>
          <t>Metals</t>
        </is>
      </c>
      <c r="E23" s="26" t="n">
        <v>2.5</v>
      </c>
      <c r="F23" s="27" t="n">
        <v>1820</v>
      </c>
      <c r="G23" s="28" t="n">
        <v>44842</v>
      </c>
      <c r="H23" s="17">
        <f>IFERROR(E23*F23,"")</f>
        <v/>
      </c>
      <c r="I23" s="29" t="n">
        <v>2420</v>
      </c>
      <c r="J23" s="30">
        <f>IFERROR(E23*I23,"")</f>
        <v/>
      </c>
      <c r="K23" s="31">
        <f>IFERROR(J23-H23,"")</f>
        <v/>
      </c>
      <c r="L23" s="32">
        <f>IFERROR(K23/H23,"")</f>
        <v/>
      </c>
    </row>
    <row r="24">
      <c r="B24" s="24" t="inlineStr">
        <is>
          <t>TECH</t>
        </is>
      </c>
      <c r="C24" s="25" t="inlineStr">
        <is>
          <t>Brokerage Taxable</t>
        </is>
      </c>
      <c r="D24" s="25" t="inlineStr">
        <is>
          <t>Options/RSUs</t>
        </is>
      </c>
      <c r="E24" s="26" t="n">
        <v>60</v>
      </c>
      <c r="F24" s="27" t="n">
        <v>92</v>
      </c>
      <c r="G24" s="28" t="n">
        <v>45337</v>
      </c>
      <c r="H24" s="17">
        <f>IFERROR(E24*F24,"")</f>
        <v/>
      </c>
      <c r="I24" s="29" t="n">
        <v>100</v>
      </c>
      <c r="J24" s="30">
        <f>IFERROR(E24*I24,"")</f>
        <v/>
      </c>
      <c r="K24" s="31">
        <f>IFERROR(J24-H24,"")</f>
        <v/>
      </c>
      <c r="L24" s="32">
        <f>IFERROR(K24/H24,"")</f>
        <v/>
      </c>
    </row>
    <row r="25">
      <c r="B25" s="24" t="inlineStr">
        <is>
          <t>CD-1Y</t>
        </is>
      </c>
      <c r="C25" s="25" t="inlineStr">
        <is>
          <t>Brokerage Taxable</t>
        </is>
      </c>
      <c r="D25" s="25" t="inlineStr">
        <is>
          <t>CDs</t>
        </is>
      </c>
      <c r="E25" s="26" t="n">
        <v>1</v>
      </c>
      <c r="F25" s="27" t="n">
        <v>10000</v>
      </c>
      <c r="G25" s="28" t="n">
        <v>45301</v>
      </c>
      <c r="H25" s="17">
        <f>IFERROR(E25*F25,"")</f>
        <v/>
      </c>
      <c r="I25" s="29" t="n">
        <v>10500</v>
      </c>
      <c r="J25" s="30">
        <f>IFERROR(E25*I25,"")</f>
        <v/>
      </c>
      <c r="K25" s="31">
        <f>IFERROR(J25-H25,"")</f>
        <v/>
      </c>
      <c r="L25" s="32">
        <f>IFERROR(K25/H25,"")</f>
        <v/>
      </c>
    </row>
    <row r="26">
      <c r="B26" s="24" t="inlineStr">
        <is>
          <t>CASH</t>
        </is>
      </c>
      <c r="C26" s="25" t="inlineStr">
        <is>
          <t>Brokerage Taxable</t>
        </is>
      </c>
      <c r="D26" s="25" t="inlineStr">
        <is>
          <t>Cash</t>
        </is>
      </c>
      <c r="E26" s="26" t="n">
        <v>1</v>
      </c>
      <c r="F26" s="27" t="n">
        <v>15000</v>
      </c>
      <c r="G26" s="28" t="n">
        <v>45292</v>
      </c>
      <c r="H26" s="17">
        <f>IFERROR(E26*F26,"")</f>
        <v/>
      </c>
      <c r="I26" s="29" t="n">
        <v>15000</v>
      </c>
      <c r="J26" s="30">
        <f>IFERROR(E26*I26,"")</f>
        <v/>
      </c>
      <c r="K26" s="31">
        <f>IFERROR(J26-H26,"")</f>
        <v/>
      </c>
      <c r="L26" s="32">
        <f>IFERROR(K26/H26,"")</f>
        <v/>
      </c>
    </row>
    <row r="27">
      <c r="B27" s="24" t="n"/>
      <c r="C27" s="25" t="n"/>
      <c r="D27" s="25" t="n"/>
      <c r="E27" s="26" t="n"/>
      <c r="F27" s="27" t="n"/>
      <c r="G27" s="28" t="n"/>
      <c r="H27" s="17">
        <f>IFERROR(E27*F27,"")</f>
        <v/>
      </c>
      <c r="I27" s="29" t="n"/>
      <c r="J27" s="30">
        <f>IFERROR(E27*I27,"")</f>
        <v/>
      </c>
      <c r="K27" s="31">
        <f>IFERROR(J27-H27,"")</f>
        <v/>
      </c>
      <c r="L27" s="32">
        <f>IFERROR(K27/H27,"")</f>
        <v/>
      </c>
    </row>
    <row r="28">
      <c r="B28" s="24" t="n"/>
      <c r="C28" s="25" t="n"/>
      <c r="D28" s="25" t="n"/>
      <c r="E28" s="26" t="n"/>
      <c r="F28" s="27" t="n"/>
      <c r="G28" s="28" t="n"/>
      <c r="H28" s="17">
        <f>IFERROR(E28*F28,"")</f>
        <v/>
      </c>
      <c r="I28" s="29" t="n"/>
      <c r="J28" s="30">
        <f>IFERROR(E28*I28,"")</f>
        <v/>
      </c>
      <c r="K28" s="31">
        <f>IFERROR(J28-H28,"")</f>
        <v/>
      </c>
      <c r="L28" s="32">
        <f>IFERROR(K28/H28,"")</f>
        <v/>
      </c>
    </row>
    <row r="29">
      <c r="B29" s="24" t="n"/>
      <c r="C29" s="25" t="n"/>
      <c r="D29" s="25" t="n"/>
      <c r="E29" s="26" t="n"/>
      <c r="F29" s="27" t="n"/>
      <c r="G29" s="28" t="n"/>
      <c r="H29" s="17">
        <f>IFERROR(E29*F29,"")</f>
        <v/>
      </c>
      <c r="I29" s="29" t="n"/>
      <c r="J29" s="30">
        <f>IFERROR(E29*I29,"")</f>
        <v/>
      </c>
      <c r="K29" s="31">
        <f>IFERROR(J29-H29,"")</f>
        <v/>
      </c>
      <c r="L29" s="32">
        <f>IFERROR(K29/H29,"")</f>
        <v/>
      </c>
    </row>
    <row r="30">
      <c r="B30" s="24" t="n"/>
      <c r="C30" s="25" t="n"/>
      <c r="D30" s="25" t="n"/>
      <c r="E30" s="26" t="n"/>
      <c r="F30" s="27" t="n"/>
      <c r="G30" s="28" t="n"/>
      <c r="H30" s="17">
        <f>IFERROR(E30*F30,"")</f>
        <v/>
      </c>
      <c r="I30" s="29" t="n"/>
      <c r="J30" s="30">
        <f>IFERROR(E30*I30,"")</f>
        <v/>
      </c>
      <c r="K30" s="31">
        <f>IFERROR(J30-H30,"")</f>
        <v/>
      </c>
      <c r="L30" s="32">
        <f>IFERROR(K30/H30,"")</f>
        <v/>
      </c>
    </row>
    <row r="31">
      <c r="B31" s="24" t="n"/>
      <c r="C31" s="25" t="n"/>
      <c r="D31" s="25" t="n"/>
      <c r="E31" s="26" t="n"/>
      <c r="F31" s="27" t="n"/>
      <c r="G31" s="28" t="n"/>
      <c r="H31" s="17">
        <f>IFERROR(E31*F31,"")</f>
        <v/>
      </c>
      <c r="I31" s="29" t="n"/>
      <c r="J31" s="30">
        <f>IFERROR(E31*I31,"")</f>
        <v/>
      </c>
      <c r="K31" s="31">
        <f>IFERROR(J31-H31,"")</f>
        <v/>
      </c>
      <c r="L31" s="32">
        <f>IFERROR(K31/H31,"")</f>
        <v/>
      </c>
    </row>
    <row r="32">
      <c r="B32" s="24" t="n"/>
      <c r="C32" s="25" t="n"/>
      <c r="D32" s="25" t="n"/>
      <c r="E32" s="26" t="n"/>
      <c r="F32" s="27" t="n"/>
      <c r="G32" s="28" t="n"/>
      <c r="H32" s="17">
        <f>IFERROR(E32*F32,"")</f>
        <v/>
      </c>
      <c r="I32" s="29" t="n"/>
      <c r="J32" s="30">
        <f>IFERROR(E32*I32,"")</f>
        <v/>
      </c>
      <c r="K32" s="31">
        <f>IFERROR(J32-H32,"")</f>
        <v/>
      </c>
      <c r="L32" s="32">
        <f>IFERROR(K32/H32,"")</f>
        <v/>
      </c>
    </row>
    <row r="33">
      <c r="B33" s="24" t="n"/>
      <c r="C33" s="25" t="n"/>
      <c r="D33" s="25" t="n"/>
      <c r="E33" s="26" t="n"/>
      <c r="F33" s="27" t="n"/>
      <c r="G33" s="28" t="n"/>
      <c r="H33" s="17">
        <f>IFERROR(E33*F33,"")</f>
        <v/>
      </c>
      <c r="I33" s="29" t="n"/>
      <c r="J33" s="30">
        <f>IFERROR(E33*I33,"")</f>
        <v/>
      </c>
      <c r="K33" s="31">
        <f>IFERROR(J33-H33,"")</f>
        <v/>
      </c>
      <c r="L33" s="32">
        <f>IFERROR(K33/H33,"")</f>
        <v/>
      </c>
    </row>
    <row r="34">
      <c r="B34" s="24" t="n"/>
      <c r="C34" s="25" t="n"/>
      <c r="D34" s="25" t="n"/>
      <c r="E34" s="26" t="n"/>
      <c r="F34" s="27" t="n"/>
      <c r="G34" s="28" t="n"/>
      <c r="H34" s="17">
        <f>IFERROR(E34*F34,"")</f>
        <v/>
      </c>
      <c r="I34" s="29" t="n"/>
      <c r="J34" s="30">
        <f>IFERROR(E34*I34,"")</f>
        <v/>
      </c>
      <c r="K34" s="31">
        <f>IFERROR(J34-H34,"")</f>
        <v/>
      </c>
      <c r="L34" s="32">
        <f>IFERROR(K34/H34,"")</f>
        <v/>
      </c>
    </row>
    <row r="35">
      <c r="B35" s="24" t="n"/>
      <c r="C35" s="25" t="n"/>
      <c r="D35" s="25" t="n"/>
      <c r="E35" s="26" t="n"/>
      <c r="F35" s="27" t="n"/>
      <c r="G35" s="28" t="n"/>
      <c r="H35" s="17">
        <f>IFERROR(E35*F35,"")</f>
        <v/>
      </c>
      <c r="I35" s="29" t="n"/>
      <c r="J35" s="30">
        <f>IFERROR(E35*I35,"")</f>
        <v/>
      </c>
      <c r="K35" s="31">
        <f>IFERROR(J35-H35,"")</f>
        <v/>
      </c>
      <c r="L35" s="32">
        <f>IFERROR(K35/H35,"")</f>
        <v/>
      </c>
    </row>
    <row r="36">
      <c r="B36" s="24" t="n"/>
      <c r="C36" s="25" t="n"/>
      <c r="D36" s="25" t="n"/>
      <c r="E36" s="26" t="n"/>
      <c r="F36" s="27" t="n"/>
      <c r="G36" s="28" t="n"/>
      <c r="H36" s="17">
        <f>IFERROR(E36*F36,"")</f>
        <v/>
      </c>
      <c r="I36" s="29" t="n"/>
      <c r="J36" s="30">
        <f>IFERROR(E36*I36,"")</f>
        <v/>
      </c>
      <c r="K36" s="31">
        <f>IFERROR(J36-H36,"")</f>
        <v/>
      </c>
      <c r="L36" s="32">
        <f>IFERROR(K36/H36,"")</f>
        <v/>
      </c>
    </row>
    <row r="37">
      <c r="B37" s="24" t="n"/>
      <c r="C37" s="25" t="n"/>
      <c r="D37" s="25" t="n"/>
      <c r="E37" s="26" t="n"/>
      <c r="F37" s="27" t="n"/>
      <c r="G37" s="28" t="n"/>
      <c r="H37" s="17">
        <f>IFERROR(E37*F37,"")</f>
        <v/>
      </c>
      <c r="I37" s="29" t="n"/>
      <c r="J37" s="30">
        <f>IFERROR(E37*I37,"")</f>
        <v/>
      </c>
      <c r="K37" s="31">
        <f>IFERROR(J37-H37,"")</f>
        <v/>
      </c>
      <c r="L37" s="32">
        <f>IFERROR(K37/H37,"")</f>
        <v/>
      </c>
    </row>
    <row r="38">
      <c r="B38" s="24" t="n"/>
      <c r="C38" s="25" t="n"/>
      <c r="D38" s="25" t="n"/>
      <c r="E38" s="26" t="n"/>
      <c r="F38" s="27" t="n"/>
      <c r="G38" s="28" t="n"/>
      <c r="H38" s="17">
        <f>IFERROR(E38*F38,"")</f>
        <v/>
      </c>
      <c r="I38" s="29" t="n"/>
      <c r="J38" s="30">
        <f>IFERROR(E38*I38,"")</f>
        <v/>
      </c>
      <c r="K38" s="31">
        <f>IFERROR(J38-H38,"")</f>
        <v/>
      </c>
      <c r="L38" s="32">
        <f>IFERROR(K38/H38,"")</f>
        <v/>
      </c>
    </row>
    <row r="39">
      <c r="B39" s="24" t="n"/>
      <c r="C39" s="25" t="n"/>
      <c r="D39" s="25" t="n"/>
      <c r="E39" s="26" t="n"/>
      <c r="F39" s="27" t="n"/>
      <c r="G39" s="28" t="n"/>
      <c r="H39" s="17">
        <f>IFERROR(E39*F39,"")</f>
        <v/>
      </c>
      <c r="I39" s="29" t="n"/>
      <c r="J39" s="30">
        <f>IFERROR(E39*I39,"")</f>
        <v/>
      </c>
      <c r="K39" s="31">
        <f>IFERROR(J39-H39,"")</f>
        <v/>
      </c>
      <c r="L39" s="32">
        <f>IFERROR(K39/H39,"")</f>
        <v/>
      </c>
    </row>
    <row r="40">
      <c r="B40" s="24" t="n"/>
      <c r="C40" s="25" t="n"/>
      <c r="D40" s="25" t="n"/>
      <c r="E40" s="26" t="n"/>
      <c r="F40" s="27" t="n"/>
      <c r="G40" s="28" t="n"/>
      <c r="H40" s="17">
        <f>IFERROR(E40*F40,"")</f>
        <v/>
      </c>
      <c r="I40" s="29" t="n"/>
      <c r="J40" s="30">
        <f>IFERROR(E40*I40,"")</f>
        <v/>
      </c>
      <c r="K40" s="31">
        <f>IFERROR(J40-H40,"")</f>
        <v/>
      </c>
      <c r="L40" s="32">
        <f>IFERROR(K40/H40,"")</f>
        <v/>
      </c>
    </row>
    <row r="41">
      <c r="B41" s="24" t="n"/>
      <c r="C41" s="25" t="n"/>
      <c r="D41" s="25" t="n"/>
      <c r="E41" s="26" t="n"/>
      <c r="F41" s="27" t="n"/>
      <c r="G41" s="28" t="n"/>
      <c r="H41" s="17">
        <f>IFERROR(E41*F41,"")</f>
        <v/>
      </c>
      <c r="I41" s="29" t="n"/>
      <c r="J41" s="30">
        <f>IFERROR(E41*I41,"")</f>
        <v/>
      </c>
      <c r="K41" s="31">
        <f>IFERROR(J41-H41,"")</f>
        <v/>
      </c>
      <c r="L41" s="32">
        <f>IFERROR(K41/H41,"")</f>
        <v/>
      </c>
    </row>
    <row r="42">
      <c r="B42" s="24" t="n"/>
      <c r="C42" s="25" t="n"/>
      <c r="D42" s="25" t="n"/>
      <c r="E42" s="26" t="n"/>
      <c r="F42" s="27" t="n"/>
      <c r="G42" s="28" t="n"/>
      <c r="H42" s="17">
        <f>IFERROR(E42*F42,"")</f>
        <v/>
      </c>
      <c r="I42" s="29" t="n"/>
      <c r="J42" s="30">
        <f>IFERROR(E42*I42,"")</f>
        <v/>
      </c>
      <c r="K42" s="31">
        <f>IFERROR(J42-H42,"")</f>
        <v/>
      </c>
      <c r="L42" s="32">
        <f>IFERROR(K42/H42,"")</f>
        <v/>
      </c>
    </row>
    <row r="43">
      <c r="B43" s="24" t="n"/>
      <c r="C43" s="25" t="n"/>
      <c r="D43" s="25" t="n"/>
      <c r="E43" s="26" t="n"/>
      <c r="F43" s="27" t="n"/>
      <c r="G43" s="28" t="n"/>
      <c r="H43" s="17">
        <f>IFERROR(E43*F43,"")</f>
        <v/>
      </c>
      <c r="I43" s="29" t="n"/>
      <c r="J43" s="30">
        <f>IFERROR(E43*I43,"")</f>
        <v/>
      </c>
      <c r="K43" s="31">
        <f>IFERROR(J43-H43,"")</f>
        <v/>
      </c>
      <c r="L43" s="32">
        <f>IFERROR(K43/H43,"")</f>
        <v/>
      </c>
    </row>
    <row r="44">
      <c r="B44" s="24" t="n"/>
      <c r="C44" s="25" t="n"/>
      <c r="D44" s="25" t="n"/>
      <c r="E44" s="26" t="n"/>
      <c r="F44" s="27" t="n"/>
      <c r="G44" s="28" t="n"/>
      <c r="H44" s="17">
        <f>IFERROR(E44*F44,"")</f>
        <v/>
      </c>
      <c r="I44" s="29" t="n"/>
      <c r="J44" s="30">
        <f>IFERROR(E44*I44,"")</f>
        <v/>
      </c>
      <c r="K44" s="31">
        <f>IFERROR(J44-H44,"")</f>
        <v/>
      </c>
      <c r="L44" s="32">
        <f>IFERROR(K44/H44,"")</f>
        <v/>
      </c>
    </row>
    <row r="45">
      <c r="B45" s="24" t="n"/>
      <c r="C45" s="25" t="n"/>
      <c r="D45" s="25" t="n"/>
      <c r="E45" s="26" t="n"/>
      <c r="F45" s="27" t="n"/>
      <c r="G45" s="28" t="n"/>
      <c r="H45" s="17">
        <f>IFERROR(E45*F45,"")</f>
        <v/>
      </c>
      <c r="I45" s="29" t="n"/>
      <c r="J45" s="30">
        <f>IFERROR(E45*I45,"")</f>
        <v/>
      </c>
      <c r="K45" s="31">
        <f>IFERROR(J45-H45,"")</f>
        <v/>
      </c>
      <c r="L45" s="32">
        <f>IFERROR(K45/H45,"")</f>
        <v/>
      </c>
    </row>
    <row r="46">
      <c r="B46" s="24" t="n"/>
      <c r="C46" s="25" t="n"/>
      <c r="D46" s="25" t="n"/>
      <c r="E46" s="26" t="n"/>
      <c r="F46" s="27" t="n"/>
      <c r="G46" s="28" t="n"/>
      <c r="H46" s="17">
        <f>IFERROR(E46*F46,"")</f>
        <v/>
      </c>
      <c r="I46" s="29" t="n"/>
      <c r="J46" s="30">
        <f>IFERROR(E46*I46,"")</f>
        <v/>
      </c>
      <c r="K46" s="31">
        <f>IFERROR(J46-H46,"")</f>
        <v/>
      </c>
      <c r="L46" s="32">
        <f>IFERROR(K46/H46,"")</f>
        <v/>
      </c>
    </row>
    <row r="47">
      <c r="B47" s="24" t="n"/>
      <c r="C47" s="25" t="n"/>
      <c r="D47" s="25" t="n"/>
      <c r="E47" s="26" t="n"/>
      <c r="F47" s="27" t="n"/>
      <c r="G47" s="28" t="n"/>
      <c r="H47" s="17">
        <f>IFERROR(E47*F47,"")</f>
        <v/>
      </c>
      <c r="I47" s="29" t="n"/>
      <c r="J47" s="30">
        <f>IFERROR(E47*I47,"")</f>
        <v/>
      </c>
      <c r="K47" s="31">
        <f>IFERROR(J47-H47,"")</f>
        <v/>
      </c>
      <c r="L47" s="32">
        <f>IFERROR(K47/H47,"")</f>
        <v/>
      </c>
    </row>
    <row r="48">
      <c r="B48" s="24" t="n"/>
      <c r="C48" s="25" t="n"/>
      <c r="D48" s="25" t="n"/>
      <c r="E48" s="26" t="n"/>
      <c r="F48" s="27" t="n"/>
      <c r="G48" s="28" t="n"/>
      <c r="H48" s="17">
        <f>IFERROR(E48*F48,"")</f>
        <v/>
      </c>
      <c r="I48" s="29" t="n"/>
      <c r="J48" s="30">
        <f>IFERROR(E48*I48,"")</f>
        <v/>
      </c>
      <c r="K48" s="31">
        <f>IFERROR(J48-H48,"")</f>
        <v/>
      </c>
      <c r="L48" s="32">
        <f>IFERROR(K48/H48,"")</f>
        <v/>
      </c>
    </row>
    <row r="49">
      <c r="B49" s="24" t="n"/>
      <c r="C49" s="25" t="n"/>
      <c r="D49" s="25" t="n"/>
      <c r="E49" s="26" t="n"/>
      <c r="F49" s="27" t="n"/>
      <c r="G49" s="28" t="n"/>
      <c r="H49" s="17">
        <f>IFERROR(E49*F49,"")</f>
        <v/>
      </c>
      <c r="I49" s="29" t="n"/>
      <c r="J49" s="30">
        <f>IFERROR(E49*I49,"")</f>
        <v/>
      </c>
      <c r="K49" s="31">
        <f>IFERROR(J49-H49,"")</f>
        <v/>
      </c>
      <c r="L49" s="32">
        <f>IFERROR(K49/H49,"")</f>
        <v/>
      </c>
    </row>
    <row r="50">
      <c r="B50" s="24" t="n"/>
      <c r="C50" s="25" t="n"/>
      <c r="D50" s="25" t="n"/>
      <c r="E50" s="26" t="n"/>
      <c r="F50" s="27" t="n"/>
      <c r="G50" s="28" t="n"/>
      <c r="H50" s="17">
        <f>IFERROR(E50*F50,"")</f>
        <v/>
      </c>
      <c r="I50" s="29" t="n"/>
      <c r="J50" s="30">
        <f>IFERROR(E50*I50,"")</f>
        <v/>
      </c>
      <c r="K50" s="31">
        <f>IFERROR(J50-H50,"")</f>
        <v/>
      </c>
      <c r="L50" s="32">
        <f>IFERROR(K50/H50,"")</f>
        <v/>
      </c>
    </row>
    <row r="51">
      <c r="B51" s="24" t="n"/>
      <c r="C51" s="25" t="n"/>
      <c r="D51" s="25" t="n"/>
      <c r="E51" s="26" t="n"/>
      <c r="F51" s="27" t="n"/>
      <c r="G51" s="28" t="n"/>
      <c r="H51" s="17">
        <f>IFERROR(E51*F51,"")</f>
        <v/>
      </c>
      <c r="I51" s="29" t="n"/>
      <c r="J51" s="30">
        <f>IFERROR(E51*I51,"")</f>
        <v/>
      </c>
      <c r="K51" s="31">
        <f>IFERROR(J51-H51,"")</f>
        <v/>
      </c>
      <c r="L51" s="32">
        <f>IFERROR(K51/H51,"")</f>
        <v/>
      </c>
    </row>
    <row r="52">
      <c r="B52" s="24" t="n"/>
      <c r="C52" s="25" t="n"/>
      <c r="D52" s="25" t="n"/>
      <c r="E52" s="26" t="n"/>
      <c r="F52" s="27" t="n"/>
      <c r="G52" s="28" t="n"/>
      <c r="H52" s="17">
        <f>IFERROR(E52*F52,"")</f>
        <v/>
      </c>
      <c r="I52" s="29" t="n"/>
      <c r="J52" s="30">
        <f>IFERROR(E52*I52,"")</f>
        <v/>
      </c>
      <c r="K52" s="31">
        <f>IFERROR(J52-H52,"")</f>
        <v/>
      </c>
      <c r="L52" s="32">
        <f>IFERROR(K52/H52,"")</f>
        <v/>
      </c>
    </row>
    <row r="53">
      <c r="B53" s="24" t="n"/>
      <c r="C53" s="25" t="n"/>
      <c r="D53" s="25" t="n"/>
      <c r="E53" s="26" t="n"/>
      <c r="F53" s="27" t="n"/>
      <c r="G53" s="28" t="n"/>
      <c r="H53" s="17">
        <f>IFERROR(E53*F53,"")</f>
        <v/>
      </c>
      <c r="I53" s="29" t="n"/>
      <c r="J53" s="30">
        <f>IFERROR(E53*I53,"")</f>
        <v/>
      </c>
      <c r="K53" s="31">
        <f>IFERROR(J53-H53,"")</f>
        <v/>
      </c>
      <c r="L53" s="32">
        <f>IFERROR(K53/H53,"")</f>
        <v/>
      </c>
    </row>
    <row r="54">
      <c r="B54" s="24" t="n"/>
      <c r="C54" s="25" t="n"/>
      <c r="D54" s="25" t="n"/>
      <c r="E54" s="26" t="n"/>
      <c r="F54" s="27" t="n"/>
      <c r="G54" s="28" t="n"/>
      <c r="H54" s="17">
        <f>IFERROR(E54*F54,"")</f>
        <v/>
      </c>
      <c r="I54" s="29" t="n"/>
      <c r="J54" s="30">
        <f>IFERROR(E54*I54,"")</f>
        <v/>
      </c>
      <c r="K54" s="31">
        <f>IFERROR(J54-H54,"")</f>
        <v/>
      </c>
      <c r="L54" s="32">
        <f>IFERROR(K54/H54,"")</f>
        <v/>
      </c>
    </row>
    <row r="55">
      <c r="B55" s="24" t="n"/>
      <c r="C55" s="25" t="n"/>
      <c r="D55" s="25" t="n"/>
      <c r="E55" s="26" t="n"/>
      <c r="F55" s="27" t="n"/>
      <c r="G55" s="28" t="n"/>
      <c r="H55" s="17">
        <f>IFERROR(E55*F55,"")</f>
        <v/>
      </c>
      <c r="I55" s="29" t="n"/>
      <c r="J55" s="30">
        <f>IFERROR(E55*I55,"")</f>
        <v/>
      </c>
      <c r="K55" s="31">
        <f>IFERROR(J55-H55,"")</f>
        <v/>
      </c>
      <c r="L55" s="32">
        <f>IFERROR(K55/H55,"")</f>
        <v/>
      </c>
    </row>
    <row r="56">
      <c r="B56" s="24" t="n"/>
      <c r="C56" s="25" t="n"/>
      <c r="D56" s="25" t="n"/>
      <c r="E56" s="26" t="n"/>
      <c r="F56" s="27" t="n"/>
      <c r="G56" s="28" t="n"/>
      <c r="H56" s="17">
        <f>IFERROR(E56*F56,"")</f>
        <v/>
      </c>
      <c r="I56" s="29" t="n"/>
      <c r="J56" s="30">
        <f>IFERROR(E56*I56,"")</f>
        <v/>
      </c>
      <c r="K56" s="31">
        <f>IFERROR(J56-H56,"")</f>
        <v/>
      </c>
      <c r="L56" s="32">
        <f>IFERROR(K56/H56,"")</f>
        <v/>
      </c>
    </row>
    <row r="57">
      <c r="B57" s="24" t="n"/>
      <c r="C57" s="25" t="n"/>
      <c r="D57" s="25" t="n"/>
      <c r="E57" s="26" t="n"/>
      <c r="F57" s="27" t="n"/>
      <c r="G57" s="28" t="n"/>
      <c r="H57" s="17">
        <f>IFERROR(E57*F57,"")</f>
        <v/>
      </c>
      <c r="I57" s="29" t="n"/>
      <c r="J57" s="30">
        <f>IFERROR(E57*I57,"")</f>
        <v/>
      </c>
      <c r="K57" s="31">
        <f>IFERROR(J57-H57,"")</f>
        <v/>
      </c>
      <c r="L57" s="32">
        <f>IFERROR(K57/H57,"")</f>
        <v/>
      </c>
    </row>
    <row r="58">
      <c r="B58" s="24" t="n"/>
      <c r="C58" s="25" t="n"/>
      <c r="D58" s="25" t="n"/>
      <c r="E58" s="26" t="n"/>
      <c r="F58" s="27" t="n"/>
      <c r="G58" s="28" t="n"/>
      <c r="H58" s="17">
        <f>IFERROR(E58*F58,"")</f>
        <v/>
      </c>
      <c r="I58" s="29" t="n"/>
      <c r="J58" s="30">
        <f>IFERROR(E58*I58,"")</f>
        <v/>
      </c>
      <c r="K58" s="31">
        <f>IFERROR(J58-H58,"")</f>
        <v/>
      </c>
      <c r="L58" s="32">
        <f>IFERROR(K58/H58,"")</f>
        <v/>
      </c>
    </row>
    <row r="59">
      <c r="B59" s="24" t="n"/>
      <c r="C59" s="25" t="n"/>
      <c r="D59" s="25" t="n"/>
      <c r="E59" s="26" t="n"/>
      <c r="F59" s="27" t="n"/>
      <c r="G59" s="28" t="n"/>
      <c r="H59" s="17">
        <f>IFERROR(E59*F59,"")</f>
        <v/>
      </c>
      <c r="I59" s="29" t="n"/>
      <c r="J59" s="30">
        <f>IFERROR(E59*I59,"")</f>
        <v/>
      </c>
      <c r="K59" s="31">
        <f>IFERROR(J59-H59,"")</f>
        <v/>
      </c>
      <c r="L59" s="32">
        <f>IFERROR(K59/H59,"")</f>
        <v/>
      </c>
    </row>
    <row r="60">
      <c r="B60" s="24" t="n"/>
      <c r="C60" s="25" t="n"/>
      <c r="D60" s="25" t="n"/>
      <c r="E60" s="26" t="n"/>
      <c r="F60" s="27" t="n"/>
      <c r="G60" s="28" t="n"/>
      <c r="H60" s="17">
        <f>IFERROR(E60*F60,"")</f>
        <v/>
      </c>
      <c r="I60" s="29" t="n"/>
      <c r="J60" s="30">
        <f>IFERROR(E60*I60,"")</f>
        <v/>
      </c>
      <c r="K60" s="31">
        <f>IFERROR(J60-H60,"")</f>
        <v/>
      </c>
      <c r="L60" s="32">
        <f>IFERROR(K60/H60,"")</f>
        <v/>
      </c>
    </row>
    <row r="61">
      <c r="B61" s="24" t="n"/>
      <c r="C61" s="25" t="n"/>
      <c r="D61" s="25" t="n"/>
      <c r="E61" s="26" t="n"/>
      <c r="F61" s="27" t="n"/>
      <c r="G61" s="28" t="n"/>
      <c r="H61" s="17">
        <f>IFERROR(E61*F61,"")</f>
        <v/>
      </c>
      <c r="I61" s="29" t="n"/>
      <c r="J61" s="30">
        <f>IFERROR(E61*I61,"")</f>
        <v/>
      </c>
      <c r="K61" s="31">
        <f>IFERROR(J61-H61,"")</f>
        <v/>
      </c>
      <c r="L61" s="32">
        <f>IFERROR(K61/H61,"")</f>
        <v/>
      </c>
    </row>
    <row r="62">
      <c r="B62" s="24" t="n"/>
      <c r="C62" s="25" t="n"/>
      <c r="D62" s="25" t="n"/>
      <c r="E62" s="26" t="n"/>
      <c r="F62" s="27" t="n"/>
      <c r="G62" s="28" t="n"/>
      <c r="H62" s="17">
        <f>IFERROR(E62*F62,"")</f>
        <v/>
      </c>
      <c r="I62" s="29" t="n"/>
      <c r="J62" s="30">
        <f>IFERROR(E62*I62,"")</f>
        <v/>
      </c>
      <c r="K62" s="31">
        <f>IFERROR(J62-H62,"")</f>
        <v/>
      </c>
      <c r="L62" s="32">
        <f>IFERROR(K62/H62,"")</f>
        <v/>
      </c>
    </row>
    <row r="63">
      <c r="B63" s="24" t="n"/>
      <c r="C63" s="25" t="n"/>
      <c r="D63" s="25" t="n"/>
      <c r="E63" s="26" t="n"/>
      <c r="F63" s="27" t="n"/>
      <c r="G63" s="28" t="n"/>
      <c r="H63" s="17">
        <f>IFERROR(E63*F63,"")</f>
        <v/>
      </c>
      <c r="I63" s="29" t="n"/>
      <c r="J63" s="30">
        <f>IFERROR(E63*I63,"")</f>
        <v/>
      </c>
      <c r="K63" s="31">
        <f>IFERROR(J63-H63,"")</f>
        <v/>
      </c>
      <c r="L63" s="32">
        <f>IFERROR(K63/H63,"")</f>
        <v/>
      </c>
    </row>
    <row r="64">
      <c r="B64" s="24" t="n"/>
      <c r="C64" s="25" t="n"/>
      <c r="D64" s="25" t="n"/>
      <c r="E64" s="26" t="n"/>
      <c r="F64" s="27" t="n"/>
      <c r="G64" s="28" t="n"/>
      <c r="H64" s="17">
        <f>IFERROR(E64*F64,"")</f>
        <v/>
      </c>
      <c r="I64" s="29" t="n"/>
      <c r="J64" s="30">
        <f>IFERROR(E64*I64,"")</f>
        <v/>
      </c>
      <c r="K64" s="31">
        <f>IFERROR(J64-H64,"")</f>
        <v/>
      </c>
      <c r="L64" s="32">
        <f>IFERROR(K64/H64,"")</f>
        <v/>
      </c>
    </row>
    <row r="65">
      <c r="B65" s="24" t="n"/>
      <c r="C65" s="25" t="n"/>
      <c r="D65" s="25" t="n"/>
      <c r="E65" s="26" t="n"/>
      <c r="F65" s="27" t="n"/>
      <c r="G65" s="28" t="n"/>
      <c r="H65" s="17">
        <f>IFERROR(E65*F65,"")</f>
        <v/>
      </c>
      <c r="I65" s="29" t="n"/>
      <c r="J65" s="30">
        <f>IFERROR(E65*I65,"")</f>
        <v/>
      </c>
      <c r="K65" s="31">
        <f>IFERROR(J65-H65,"")</f>
        <v/>
      </c>
      <c r="L65" s="32">
        <f>IFERROR(K65/H65,"")</f>
        <v/>
      </c>
    </row>
    <row r="66">
      <c r="B66" s="24" t="n"/>
      <c r="C66" s="25" t="n"/>
      <c r="D66" s="25" t="n"/>
      <c r="E66" s="26" t="n"/>
      <c r="F66" s="27" t="n"/>
      <c r="G66" s="28" t="n"/>
      <c r="H66" s="17">
        <f>IFERROR(E66*F66,"")</f>
        <v/>
      </c>
      <c r="I66" s="29" t="n"/>
      <c r="J66" s="30">
        <f>IFERROR(E66*I66,"")</f>
        <v/>
      </c>
      <c r="K66" s="31">
        <f>IFERROR(J66-H66,"")</f>
        <v/>
      </c>
      <c r="L66" s="32">
        <f>IFERROR(K66/H66,"")</f>
        <v/>
      </c>
    </row>
    <row r="67">
      <c r="B67" s="24" t="n"/>
      <c r="C67" s="25" t="n"/>
      <c r="D67" s="25" t="n"/>
      <c r="E67" s="26" t="n"/>
      <c r="F67" s="27" t="n"/>
      <c r="G67" s="28" t="n"/>
      <c r="H67" s="17">
        <f>IFERROR(E67*F67,"")</f>
        <v/>
      </c>
      <c r="I67" s="29" t="n"/>
      <c r="J67" s="30">
        <f>IFERROR(E67*I67,"")</f>
        <v/>
      </c>
      <c r="K67" s="31">
        <f>IFERROR(J67-H67,"")</f>
        <v/>
      </c>
      <c r="L67" s="32">
        <f>IFERROR(K67/H67,"")</f>
        <v/>
      </c>
    </row>
    <row r="68">
      <c r="B68" s="24" t="n"/>
      <c r="C68" s="25" t="n"/>
      <c r="D68" s="25" t="n"/>
      <c r="E68" s="26" t="n"/>
      <c r="F68" s="27" t="n"/>
      <c r="G68" s="28" t="n"/>
      <c r="H68" s="17">
        <f>IFERROR(E68*F68,"")</f>
        <v/>
      </c>
      <c r="I68" s="29" t="n"/>
      <c r="J68" s="30">
        <f>IFERROR(E68*I68,"")</f>
        <v/>
      </c>
      <c r="K68" s="31">
        <f>IFERROR(J68-H68,"")</f>
        <v/>
      </c>
      <c r="L68" s="32">
        <f>IFERROR(K68/H68,"")</f>
        <v/>
      </c>
    </row>
    <row r="70" ht="28" customHeight="1">
      <c r="B70" s="33" t="inlineStr">
        <is>
          <t>TOTAL</t>
        </is>
      </c>
      <c r="C70" s="34" t="n"/>
      <c r="D70" s="34" t="n"/>
      <c r="E70" s="34" t="n"/>
      <c r="F70" s="34" t="n"/>
      <c r="G70" s="34" t="n"/>
      <c r="H70" s="35">
        <f>SUM(H9:H68)</f>
        <v/>
      </c>
      <c r="J70" s="35">
        <f>SUM(J9:J68)</f>
        <v/>
      </c>
      <c r="K70" s="36">
        <f>SUM(K9:K68)</f>
        <v/>
      </c>
      <c r="L70" s="37">
        <f>IFERROR(K70/H70,0)</f>
        <v/>
      </c>
    </row>
    <row r="71">
      <c r="B71" t="inlineStr">
        <is>
          <t>NFT/Illiquid Assets: Enter last-known valuation as current price. Update the date in column G when you re-value. NFT values are subjective — mark with a note in column M to flag illiquid/manually-valued positions.</t>
        </is>
      </c>
    </row>
    <row r="73" ht="32" customHeight="1">
      <c r="B73" s="22" t="inlineStr">
        <is>
          <t>📡  Live prices via GOOGLEFINANCE — Google Sheets only
In Google Sheets, replace column I with `=GOOGLEFINANCE(B&lt;row&gt;)` per position — refreshes every ~minute when the sheet is open (20-min delayed feed). For metals/crypto, use `=GOOGLEFINANCE("CURRENCY:XAUUSD")` for gold spot and `=GOOGLEFINANCE("CURRENCY:BTCUSD")` for BTC. Excel CANNOT pull live prices — this is by-design + disclosed in listing. Excel users: keep seed values, refresh manually monthly.</t>
        </is>
      </c>
      <c r="C73" s="93" t="n"/>
      <c r="D73" s="93" t="n"/>
      <c r="E73" s="93" t="n"/>
      <c r="F73" s="93" t="n"/>
      <c r="G73" s="93" t="n"/>
      <c r="H73" s="93" t="n"/>
      <c r="I73" s="93" t="n"/>
      <c r="J73" s="93" t="n"/>
      <c r="K73" s="93" t="n"/>
      <c r="L73" s="94" t="n"/>
    </row>
    <row r="74" ht="32" customHeight="1">
      <c r="B74" s="95" t="n"/>
      <c r="C74" s="96" t="n"/>
      <c r="D74" s="96" t="n"/>
      <c r="E74" s="96" t="n"/>
      <c r="F74" s="96" t="n"/>
      <c r="G74" s="96" t="n"/>
      <c r="H74" s="96" t="n"/>
      <c r="I74" s="96" t="n"/>
      <c r="J74" s="96" t="n"/>
      <c r="K74" s="96" t="n"/>
      <c r="L74" s="97" t="n"/>
    </row>
    <row r="77" ht="3" customHeight="1">
      <c r="A77" s="9" t="n"/>
    </row>
    <row r="78" ht="22" customHeight="1">
      <c r="A78" s="23" t="inlineStr">
        <is>
          <t>Lime Premium Studios  ·  Investment Portfolio Tracker Pro v1.0  ·  Privacy-first. No Plaid. No app.</t>
        </is>
      </c>
    </row>
  </sheetData>
  <mergeCells count="17">
    <mergeCell ref="K2:M2"/>
    <mergeCell ref="A2:B2"/>
    <mergeCell ref="D1:I1"/>
    <mergeCell ref="C2:D2"/>
    <mergeCell ref="A1:C1"/>
    <mergeCell ref="G2:H2"/>
    <mergeCell ref="E2:F2"/>
    <mergeCell ref="B6:L6"/>
    <mergeCell ref="I2:J2"/>
    <mergeCell ref="B7:L7"/>
    <mergeCell ref="A4:M4"/>
    <mergeCell ref="A3:M3"/>
    <mergeCell ref="A78:M78"/>
    <mergeCell ref="A77:M77"/>
    <mergeCell ref="B73:L74"/>
    <mergeCell ref="J1:M1"/>
    <mergeCell ref="B8:L8"/>
  </mergeCells>
  <conditionalFormatting sqref="K9:L68">
    <cfRule type="cellIs" priority="1" operator="greaterThan" dxfId="6">
      <formula>0</formula>
    </cfRule>
    <cfRule type="cellIs" priority="2" operator="lessThan" dxfId="7">
      <formula>0</formula>
    </cfRule>
  </conditionalFormatting>
  <conditionalFormatting sqref="L9:L68">
    <cfRule type="cellIs" priority="2" operator="greaterThan" dxfId="8">
      <formula>0.5</formula>
    </cfRule>
  </conditionalFormatting>
  <dataValidations count="4">
    <dataValidation sqref="C10:C68" showDropDown="0" showInputMessage="0" showErrorMessage="0" allowBlank="1" type="list">
      <formula1>"Brokerage Taxable,Roth IRA,Traditional IRA,401k,SEP IRA,HSA,529,Other"</formula1>
    </dataValidation>
    <dataValidation sqref="C9:C68" showDropDown="0" showInputMessage="0" showErrorMessage="0" allowBlank="1" type="list">
      <formula1>"Brokerage Taxable,Roth IRA,Traditional IRA,401k,SEP IRA,HSA,529,Other"</formula1>
    </dataValidation>
    <dataValidation sqref="D10:D68" showDropDown="0" showInputMessage="0" showErrorMessage="0" allowBlank="1" type="list">
      <formula1>"Stocks,ETFs,Mutual Funds,Bonds,Cash,Metals,Crypto,REITs,CDs,Options/RSUs"</formula1>
    </dataValidation>
    <dataValidation sqref="D9:D68" showDropDown="0" showInputMessage="0" showErrorMessage="0" allowBlank="1" type="list">
      <formula1>"Stocks,ETFs,Mutual Funds,Bonds,Cash,Metals,Crypto,REITs,CDs,Options/RSUs"</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3.xml><?xml version="1.0" encoding="utf-8"?>
<worksheet xmlns="http://schemas.openxmlformats.org/spreadsheetml/2006/main">
  <sheetPr>
    <tabColor rgb="FF3F6B4D"/>
    <outlinePr summaryBelow="1" summaryRight="1"/>
    <pageSetUpPr/>
  </sheetPr>
  <dimension ref="A1:M29"/>
  <sheetViews>
    <sheetView workbookViewId="0">
      <pane ySplit="4" topLeftCell="A5" activePane="bottomLeft" state="frozen"/>
      <selection pane="bottomLeft" activeCell="A1" sqref="A1"/>
    </sheetView>
  </sheetViews>
  <sheetFormatPr baseColWidth="8" defaultRowHeight="15" outlineLevelRow="0"/>
  <cols>
    <col width="2" customWidth="1" min="1" max="1"/>
    <col width="14" customWidth="1" min="2" max="3"/>
    <col width="12" customWidth="1" min="4" max="4"/>
    <col width="14" customWidth="1" min="5" max="5"/>
    <col width="12" customWidth="1" min="6" max="6"/>
    <col width="14" customWidth="1" min="7" max="7"/>
    <col width="10" customWidth="1" min="8" max="12"/>
    <col width="2" customWidth="1" min="13" max="13"/>
  </cols>
  <sheetData>
    <row r="1" ht="32" customHeight="1">
      <c r="A1" s="1" t="inlineStr">
        <is>
          <t xml:space="preserve">    Lime Premium Studios</t>
        </is>
      </c>
      <c r="D1" s="2" t="inlineStr">
        <is>
          <t>Investment Portfolio Tracker — Pro</t>
        </is>
      </c>
      <c r="J1" s="3" t="inlineStr">
        <is>
          <t>💵 Cash &amp; FX Holdings</t>
        </is>
      </c>
    </row>
    <row r="2" ht="54" customHeight="1">
      <c r="A2" s="4">
        <f>"CURRENCIES"&amp;CHAR(10)&amp;(COUNTA(B9:B18))</f>
        <v/>
      </c>
      <c r="B2" s="91" t="n"/>
      <c r="C2" s="4">
        <f>"USD EQUIV"&amp;CHAR(10)&amp;(TEXT(SUM(G9:G18),"$#,##0"))</f>
        <v/>
      </c>
      <c r="D2" s="91" t="n"/>
      <c r="E2" s="38" t="inlineStr">
        <is>
          <t>BASE
USD</t>
        </is>
      </c>
      <c r="F2" s="91" t="n"/>
      <c r="G2" s="4">
        <f>"EUR→USD"&amp;CHAR(10)&amp;(IFERROR(TEXT(VLOOKUP("EUR",B9:E18,4,FALSE),"0.0000"),"—"))</f>
        <v/>
      </c>
      <c r="H2" s="91" t="n"/>
      <c r="I2" s="4">
        <f>"GBP→USD"&amp;CHAR(10)&amp;(IFERROR(TEXT(VLOOKUP("GBP",B9:E18,4,FALSE),"0.0000"),"—"))</f>
        <v/>
      </c>
      <c r="J2" s="91" t="n"/>
      <c r="K2" s="4">
        <f>"AS OF"&amp;CHAR(10)&amp;(IFERROR(TEXT(MAX(F9:F18),"mmm d"),"—"))</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Multi-currency cash positions. Live FX via GOOGLEFINANCE in Sheets. USD-equivalent column drives Holdings Master cash class.</t>
        </is>
      </c>
    </row>
    <row r="6" ht="26" customHeight="1">
      <c r="B6" s="7" t="inlineStr">
        <is>
          <t>Multi-currency cash + FX</t>
        </is>
      </c>
    </row>
    <row r="7" ht="18" customHeight="1">
      <c r="B7" s="8" t="inlineStr">
        <is>
          <t>Rate-to-USD shows how many USD one unit of this currency is worth. Update FX monthly or use =GOOGLEFINANCE("CURRENCY:EURUSD") in Sheets.</t>
        </is>
      </c>
    </row>
    <row r="8" ht="3" customHeight="1">
      <c r="B8" s="9" t="n"/>
    </row>
    <row r="10" ht="24" customHeight="1">
      <c r="B10" s="10" t="inlineStr">
        <is>
          <t>Currency</t>
        </is>
      </c>
      <c r="C10" s="10" t="inlineStr">
        <is>
          <t>Account</t>
        </is>
      </c>
      <c r="D10" s="10" t="inlineStr">
        <is>
          <t>Balance</t>
        </is>
      </c>
      <c r="E10" s="10" t="inlineStr">
        <is>
          <t>Rate→USD</t>
        </is>
      </c>
      <c r="F10" s="10" t="inlineStr">
        <is>
          <t>Last Updated</t>
        </is>
      </c>
      <c r="G10" s="10" t="inlineStr">
        <is>
          <t>USD Equiv</t>
        </is>
      </c>
      <c r="H10" s="11" t="inlineStr">
        <is>
          <t>Notes</t>
        </is>
      </c>
    </row>
    <row r="11">
      <c r="B11" s="24" t="inlineStr">
        <is>
          <t>USD</t>
        </is>
      </c>
      <c r="C11" s="25" t="inlineStr">
        <is>
          <t>Brokerage Taxable</t>
        </is>
      </c>
      <c r="D11" s="39" t="n">
        <v>15000</v>
      </c>
      <c r="E11" s="40" t="n">
        <v>1</v>
      </c>
      <c r="F11" s="28" t="n">
        <v>46165.53674394676</v>
      </c>
      <c r="G11" s="30">
        <f>IFERROR(D11*E11,"")</f>
        <v/>
      </c>
      <c r="H11" s="41" t="inlineStr">
        <is>
          <t>Base currency</t>
        </is>
      </c>
    </row>
    <row r="12">
      <c r="B12" s="24" t="inlineStr">
        <is>
          <t>EUR</t>
        </is>
      </c>
      <c r="C12" s="25" t="inlineStr">
        <is>
          <t>Other</t>
        </is>
      </c>
      <c r="D12" s="39" t="n">
        <v>0</v>
      </c>
      <c r="E12" s="40" t="n">
        <v>1.07</v>
      </c>
      <c r="F12" s="28" t="n">
        <v>46165.53674394676</v>
      </c>
      <c r="G12" s="30">
        <f>IFERROR(D12*E12,"")</f>
        <v/>
      </c>
      <c r="H12" s="41" t="inlineStr">
        <is>
          <t>European Union</t>
        </is>
      </c>
    </row>
    <row r="13">
      <c r="B13" s="24" t="inlineStr">
        <is>
          <t>GBP</t>
        </is>
      </c>
      <c r="C13" s="25" t="inlineStr">
        <is>
          <t>Other</t>
        </is>
      </c>
      <c r="D13" s="39" t="n">
        <v>0</v>
      </c>
      <c r="E13" s="40" t="n">
        <v>1.26</v>
      </c>
      <c r="F13" s="28" t="n">
        <v>46165.53674394676</v>
      </c>
      <c r="G13" s="30">
        <f>IFERROR(D13*E13,"")</f>
        <v/>
      </c>
      <c r="H13" s="41" t="inlineStr">
        <is>
          <t>United Kingdom</t>
        </is>
      </c>
    </row>
    <row r="14">
      <c r="B14" s="24" t="n"/>
      <c r="C14" s="25" t="n"/>
      <c r="D14" s="39" t="n"/>
      <c r="E14" s="40" t="n"/>
      <c r="F14" s="28" t="n"/>
      <c r="G14" s="30">
        <f>IFERROR(D14*E14,"")</f>
        <v/>
      </c>
      <c r="H14" s="41" t="n"/>
    </row>
    <row r="15">
      <c r="B15" s="24" t="n"/>
      <c r="C15" s="25" t="n"/>
      <c r="D15" s="39" t="n"/>
      <c r="E15" s="40" t="n"/>
      <c r="F15" s="28" t="n"/>
      <c r="G15" s="30">
        <f>IFERROR(D15*E15,"")</f>
        <v/>
      </c>
      <c r="H15" s="41" t="n"/>
    </row>
    <row r="16">
      <c r="B16" s="24" t="n"/>
      <c r="C16" s="25" t="n"/>
      <c r="D16" s="39" t="n"/>
      <c r="E16" s="40" t="n"/>
      <c r="F16" s="28" t="n"/>
      <c r="G16" s="30">
        <f>IFERROR(D16*E16,"")</f>
        <v/>
      </c>
      <c r="H16" s="41" t="n"/>
    </row>
    <row r="17">
      <c r="B17" s="24" t="n"/>
      <c r="C17" s="25" t="n"/>
      <c r="D17" s="39" t="n"/>
      <c r="E17" s="40" t="n"/>
      <c r="F17" s="28" t="n"/>
      <c r="G17" s="30">
        <f>IFERROR(D17*E17,"")</f>
        <v/>
      </c>
      <c r="H17" s="41" t="n"/>
    </row>
    <row r="18">
      <c r="B18" s="24" t="n"/>
      <c r="C18" s="25" t="n"/>
      <c r="D18" s="39" t="n"/>
      <c r="E18" s="40" t="n"/>
      <c r="F18" s="28" t="n"/>
      <c r="G18" s="30">
        <f>IFERROR(D18*E18,"")</f>
        <v/>
      </c>
      <c r="H18" s="41" t="n"/>
    </row>
    <row r="19">
      <c r="B19" s="24" t="n"/>
      <c r="C19" s="25" t="n"/>
      <c r="D19" s="39" t="n"/>
      <c r="E19" s="40" t="n"/>
      <c r="F19" s="28" t="n"/>
      <c r="G19" s="30">
        <f>IFERROR(D19*E19,"")</f>
        <v/>
      </c>
      <c r="H19" s="41" t="n"/>
    </row>
    <row r="20">
      <c r="B20" s="24" t="n"/>
      <c r="C20" s="25" t="n"/>
      <c r="D20" s="39" t="n"/>
      <c r="E20" s="40" t="n"/>
      <c r="F20" s="28" t="n"/>
      <c r="G20" s="30">
        <f>IFERROR(D20*E20,"")</f>
        <v/>
      </c>
      <c r="H20" s="41" t="n"/>
    </row>
    <row r="23" ht="30" customHeight="1">
      <c r="B23" s="22" t="inlineStr">
        <is>
          <t>🌍  FX via GOOGLEFINANCE
In Google Sheets, replace column E with `=GOOGLEFINANCE("CURRENCY:EURUSD")` per row. Excel users update monthly — oanda.com or your bank's FX page. Pegged currencies (AED 0.2723, SAR 0.2667) rarely move; floaters move daily.</t>
        </is>
      </c>
      <c r="C23" s="93" t="n"/>
      <c r="D23" s="93" t="n"/>
      <c r="E23" s="93" t="n"/>
      <c r="F23" s="93" t="n"/>
      <c r="G23" s="93" t="n"/>
      <c r="H23" s="93" t="n"/>
      <c r="I23" s="93" t="n"/>
      <c r="J23" s="93" t="n"/>
      <c r="K23" s="93" t="n"/>
      <c r="L23" s="94" t="n"/>
    </row>
    <row r="24" ht="30" customHeight="1">
      <c r="B24" s="95" t="n"/>
      <c r="C24" s="96" t="n"/>
      <c r="D24" s="96" t="n"/>
      <c r="E24" s="96" t="n"/>
      <c r="F24" s="96" t="n"/>
      <c r="G24" s="96" t="n"/>
      <c r="H24" s="96" t="n"/>
      <c r="I24" s="96" t="n"/>
      <c r="J24" s="96" t="n"/>
      <c r="K24" s="96" t="n"/>
      <c r="L24" s="97" t="n"/>
    </row>
    <row r="28" ht="3" customHeight="1">
      <c r="A28" s="9" t="n"/>
    </row>
    <row r="29" ht="22" customHeight="1">
      <c r="A29" s="23" t="inlineStr">
        <is>
          <t>Lime Premium Studios  ·  Investment Portfolio Tracker Pro v1.0  ·  Privacy-first. No Plaid. No app.</t>
        </is>
      </c>
    </row>
  </sheetData>
  <mergeCells count="17">
    <mergeCell ref="K2:M2"/>
    <mergeCell ref="A2:B2"/>
    <mergeCell ref="D1:I1"/>
    <mergeCell ref="C2:D2"/>
    <mergeCell ref="A1:C1"/>
    <mergeCell ref="G2:H2"/>
    <mergeCell ref="E2:F2"/>
    <mergeCell ref="B6:L6"/>
    <mergeCell ref="I2:J2"/>
    <mergeCell ref="B7:L7"/>
    <mergeCell ref="A4:M4"/>
    <mergeCell ref="A3:M3"/>
    <mergeCell ref="A29:M29"/>
    <mergeCell ref="B23:L24"/>
    <mergeCell ref="B8:L8"/>
    <mergeCell ref="J1:M1"/>
    <mergeCell ref="A28:M28"/>
  </mergeCells>
  <dataValidations count="1">
    <dataValidation sqref="C11:C20" showDropDown="0" showInputMessage="0" showErrorMessage="0" allowBlank="1" type="list">
      <formula1>"Brokerage Taxable,Roth IRA,Traditional IRA,401k,SEP IRA,HSA,529,Other"</formula1>
    </dataValidation>
  </dataValidations>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tabColor rgb="FF3F6B4D"/>
    <outlinePr summaryBelow="1" summaryRight="1"/>
    <pageSetUpPr/>
  </sheetPr>
  <dimension ref="A1:M41"/>
  <sheetViews>
    <sheetView workbookViewId="0">
      <pane ySplit="4" topLeftCell="A5" activePane="bottomLeft" state="frozen"/>
      <selection pane="bottomLeft" activeCell="A1" sqref="A1"/>
    </sheetView>
  </sheetViews>
  <sheetFormatPr baseColWidth="8" defaultRowHeight="15" outlineLevelRow="0"/>
  <cols>
    <col width="2" customWidth="1" min="1" max="1"/>
    <col width="10" customWidth="1" min="2" max="3"/>
    <col width="8" customWidth="1" min="4" max="12"/>
    <col width="2" customWidth="1" min="13" max="13"/>
  </cols>
  <sheetData>
    <row r="1" ht="32" customHeight="1">
      <c r="A1" s="1" t="inlineStr">
        <is>
          <t xml:space="preserve">    Lime Premium Studios</t>
        </is>
      </c>
      <c r="D1" s="2" t="inlineStr">
        <is>
          <t>Investment Portfolio Tracker — Pro</t>
        </is>
      </c>
      <c r="J1" s="3" t="inlineStr">
        <is>
          <t>📈 Stocks Tracker</t>
        </is>
      </c>
    </row>
    <row r="2" ht="54" customHeight="1">
      <c r="A2" s="4">
        <f>"TICKERS"&amp;CHAR(10)&amp;(COUNTA(B9:B30))</f>
        <v/>
      </c>
      <c r="B2" s="91" t="n"/>
      <c r="C2" s="4">
        <f>"AVG MoM %"&amp;CHAR(10)&amp;(TEXT(IFERROR(AVERAGE(L9:L30)/AVERAGE(B9:B30)-1,0),"+0.0%;-0.0%"))</f>
        <v/>
      </c>
      <c r="D2" s="91" t="n"/>
      <c r="E2" s="4">
        <f>"TOTAL DIV YTD"&amp;CHAR(10)&amp;(TEXT(SUM('💰 Dividend Income Calendar'!N9:N28),"$#,##0"))</f>
        <v/>
      </c>
      <c r="F2" s="91" t="n"/>
      <c r="G2" s="4">
        <f>"TOP TICKER"&amp;CHAR(10)&amp;(IFERROR(INDEX(B9:B30,MATCH(MAX(L9:L30),L9:L30,0)),"—"))</f>
        <v/>
      </c>
      <c r="H2" s="91" t="n"/>
      <c r="I2" s="4">
        <f>"AS OF"&amp;CHAR(10)&amp;(TEXT(TODAY(),"mmm yyyy"))</f>
        <v/>
      </c>
      <c r="J2" s="91" t="n"/>
      <c r="K2" s="38" t="inlineStr">
        <is>
          <t>SHEET RULE
Monthly snapshot</t>
        </is>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Per-ticker monthly price log. Dividend annotations on payment months. Ex-dividend date in column M.</t>
        </is>
      </c>
    </row>
    <row r="6" ht="26" customHeight="1">
      <c r="B6" s="7" t="inlineStr">
        <is>
          <t>Monthly price log — last 12 months</t>
        </is>
      </c>
    </row>
    <row r="7" ht="18" customHeight="1">
      <c r="B7" s="8" t="inlineStr">
        <is>
          <t>Enter end-of-month closing prices. Dividend payment months get a marker in the Notes column. Use this tab to backtest your conviction vs actual.</t>
        </is>
      </c>
    </row>
    <row r="8" ht="3" customHeight="1">
      <c r="B8" s="9" t="n"/>
    </row>
    <row r="10" ht="24" customHeight="1">
      <c r="B10" s="10" t="inlineStr">
        <is>
          <t>Ticker</t>
        </is>
      </c>
      <c r="C10" s="10" t="inlineStr">
        <is>
          <t>Jan</t>
        </is>
      </c>
      <c r="D10" s="10" t="inlineStr">
        <is>
          <t>Feb</t>
        </is>
      </c>
      <c r="E10" s="10" t="inlineStr">
        <is>
          <t>Mar</t>
        </is>
      </c>
      <c r="F10" s="10" t="inlineStr">
        <is>
          <t>Apr</t>
        </is>
      </c>
      <c r="G10" s="10" t="inlineStr">
        <is>
          <t>May</t>
        </is>
      </c>
      <c r="H10" s="10" t="inlineStr">
        <is>
          <t>Jun</t>
        </is>
      </c>
      <c r="I10" s="10" t="inlineStr">
        <is>
          <t>Jul</t>
        </is>
      </c>
      <c r="J10" s="10" t="inlineStr">
        <is>
          <t>Aug</t>
        </is>
      </c>
      <c r="K10" s="10" t="inlineStr">
        <is>
          <t>Sep</t>
        </is>
      </c>
      <c r="L10" s="10" t="inlineStr">
        <is>
          <t>Oct</t>
        </is>
      </c>
    </row>
    <row r="11">
      <c r="B11" s="12" t="inlineStr">
        <is>
          <t>VTI</t>
        </is>
      </c>
      <c r="C11" s="27" t="n">
        <v>208.25</v>
      </c>
      <c r="D11" s="27" t="n">
        <v>212.66</v>
      </c>
      <c r="E11" s="27" t="n">
        <v>217.07</v>
      </c>
      <c r="F11" s="27" t="n">
        <v>221.48</v>
      </c>
      <c r="G11" s="27" t="n">
        <v>225.89</v>
      </c>
      <c r="H11" s="27" t="n">
        <v>230.3</v>
      </c>
      <c r="I11" s="27" t="n">
        <v>234.71</v>
      </c>
      <c r="J11" s="27" t="n">
        <v>239.12</v>
      </c>
      <c r="K11" s="27" t="n">
        <v>243.53</v>
      </c>
      <c r="L11" s="27" t="n">
        <v>247.94</v>
      </c>
    </row>
    <row r="12">
      <c r="B12" s="12" t="inlineStr">
        <is>
          <t>VOO</t>
        </is>
      </c>
      <c r="C12" s="27" t="n">
        <v>374</v>
      </c>
      <c r="D12" s="27" t="n">
        <v>381.92</v>
      </c>
      <c r="E12" s="27" t="n">
        <v>389.84</v>
      </c>
      <c r="F12" s="27" t="n">
        <v>397.76</v>
      </c>
      <c r="G12" s="27" t="n">
        <v>405.68</v>
      </c>
      <c r="H12" s="27" t="n">
        <v>413.6</v>
      </c>
      <c r="I12" s="27" t="n">
        <v>421.52</v>
      </c>
      <c r="J12" s="27" t="n">
        <v>429.44</v>
      </c>
      <c r="K12" s="27" t="n">
        <v>437.36</v>
      </c>
      <c r="L12" s="27" t="n">
        <v>445.28</v>
      </c>
    </row>
    <row r="13">
      <c r="B13" s="12" t="inlineStr">
        <is>
          <t>AAPL</t>
        </is>
      </c>
      <c r="C13" s="27" t="n">
        <v>154.7</v>
      </c>
      <c r="D13" s="27" t="n">
        <v>157.98</v>
      </c>
      <c r="E13" s="27" t="n">
        <v>161.25</v>
      </c>
      <c r="F13" s="27" t="n">
        <v>164.53</v>
      </c>
      <c r="G13" s="27" t="n">
        <v>167.8</v>
      </c>
      <c r="H13" s="27" t="n">
        <v>171.08</v>
      </c>
      <c r="I13" s="27" t="n">
        <v>174.36</v>
      </c>
      <c r="J13" s="27" t="n">
        <v>177.63</v>
      </c>
      <c r="K13" s="27" t="n">
        <v>180.91</v>
      </c>
      <c r="L13" s="27" t="n">
        <v>184.18</v>
      </c>
    </row>
    <row r="14">
      <c r="B14" s="12" t="inlineStr">
        <is>
          <t>MSFT</t>
        </is>
      </c>
      <c r="C14" s="27" t="n">
        <v>352.75</v>
      </c>
      <c r="D14" s="27" t="n">
        <v>360.22</v>
      </c>
      <c r="E14" s="27" t="n">
        <v>367.69</v>
      </c>
      <c r="F14" s="27" t="n">
        <v>375.16</v>
      </c>
      <c r="G14" s="27" t="n">
        <v>382.63</v>
      </c>
      <c r="H14" s="27" t="n">
        <v>390.1</v>
      </c>
      <c r="I14" s="27" t="n">
        <v>397.57</v>
      </c>
      <c r="J14" s="27" t="n">
        <v>405.04</v>
      </c>
      <c r="K14" s="27" t="n">
        <v>412.51</v>
      </c>
      <c r="L14" s="27" t="n">
        <v>419.98</v>
      </c>
    </row>
    <row r="15">
      <c r="B15" s="12" t="inlineStr">
        <is>
          <t>GOOGL</t>
        </is>
      </c>
      <c r="C15" s="27" t="n">
        <v>125.8</v>
      </c>
      <c r="D15" s="27" t="n">
        <v>128.46</v>
      </c>
      <c r="E15" s="27" t="n">
        <v>131.13</v>
      </c>
      <c r="F15" s="27" t="n">
        <v>133.79</v>
      </c>
      <c r="G15" s="27" t="n">
        <v>136.46</v>
      </c>
      <c r="H15" s="27" t="n">
        <v>139.12</v>
      </c>
      <c r="I15" s="27" t="n">
        <v>141.78</v>
      </c>
      <c r="J15" s="27" t="n">
        <v>144.45</v>
      </c>
      <c r="K15" s="27" t="n">
        <v>147.11</v>
      </c>
      <c r="L15" s="27" t="n">
        <v>149.78</v>
      </c>
    </row>
    <row r="16">
      <c r="B16" s="12" t="inlineStr">
        <is>
          <t>VXUS</t>
        </is>
      </c>
      <c r="C16" s="27" t="n">
        <v>51</v>
      </c>
      <c r="D16" s="27" t="n">
        <v>52.08</v>
      </c>
      <c r="E16" s="27" t="n">
        <v>53.16</v>
      </c>
      <c r="F16" s="27" t="n">
        <v>54.24</v>
      </c>
      <c r="G16" s="27" t="n">
        <v>55.32</v>
      </c>
      <c r="H16" s="27" t="n">
        <v>56.4</v>
      </c>
      <c r="I16" s="27" t="n">
        <v>57.48</v>
      </c>
      <c r="J16" s="27" t="n">
        <v>58.56</v>
      </c>
      <c r="K16" s="27" t="n">
        <v>59.64</v>
      </c>
      <c r="L16" s="27" t="n">
        <v>60.72</v>
      </c>
    </row>
    <row r="17">
      <c r="B17" s="12" t="inlineStr">
        <is>
          <t>SCHD</t>
        </is>
      </c>
      <c r="C17" s="27" t="n">
        <v>69.7</v>
      </c>
      <c r="D17" s="27" t="n">
        <v>71.18000000000001</v>
      </c>
      <c r="E17" s="27" t="n">
        <v>72.65000000000001</v>
      </c>
      <c r="F17" s="27" t="n">
        <v>74.13</v>
      </c>
      <c r="G17" s="27" t="n">
        <v>75.59999999999999</v>
      </c>
      <c r="H17" s="27" t="n">
        <v>77.08</v>
      </c>
      <c r="I17" s="27" t="n">
        <v>78.56</v>
      </c>
      <c r="J17" s="27" t="n">
        <v>80.03</v>
      </c>
      <c r="K17" s="27" t="n">
        <v>81.51000000000001</v>
      </c>
      <c r="L17" s="27" t="n">
        <v>82.98</v>
      </c>
    </row>
    <row r="18">
      <c r="B18" s="12" t="inlineStr">
        <is>
          <t>VYM</t>
        </is>
      </c>
      <c r="C18" s="27" t="n">
        <v>100.3</v>
      </c>
      <c r="D18" s="27" t="n">
        <v>102.42</v>
      </c>
      <c r="E18" s="27" t="n">
        <v>104.55</v>
      </c>
      <c r="F18" s="27" t="n">
        <v>106.67</v>
      </c>
      <c r="G18" s="27" t="n">
        <v>108.8</v>
      </c>
      <c r="H18" s="27" t="n">
        <v>110.92</v>
      </c>
      <c r="I18" s="27" t="n">
        <v>113.04</v>
      </c>
      <c r="J18" s="27" t="n">
        <v>115.17</v>
      </c>
      <c r="K18" s="27" t="n">
        <v>117.29</v>
      </c>
      <c r="L18" s="27" t="n">
        <v>119.42</v>
      </c>
    </row>
    <row r="19">
      <c r="B19" s="12" t="n"/>
      <c r="C19" s="27" t="n"/>
      <c r="D19" s="27" t="n"/>
      <c r="E19" s="27" t="n"/>
      <c r="F19" s="27" t="n"/>
      <c r="G19" s="27" t="n"/>
      <c r="H19" s="27" t="n"/>
      <c r="I19" s="27" t="n"/>
      <c r="J19" s="27" t="n"/>
      <c r="K19" s="27" t="n"/>
      <c r="L19" s="27" t="n"/>
    </row>
    <row r="20">
      <c r="B20" s="12" t="n"/>
      <c r="C20" s="27" t="n"/>
      <c r="D20" s="27" t="n"/>
      <c r="E20" s="27" t="n"/>
      <c r="F20" s="27" t="n"/>
      <c r="G20" s="27" t="n"/>
      <c r="H20" s="27" t="n"/>
      <c r="I20" s="27" t="n"/>
      <c r="J20" s="27" t="n"/>
      <c r="K20" s="27" t="n"/>
      <c r="L20" s="27" t="n"/>
    </row>
    <row r="21">
      <c r="B21" s="12" t="n"/>
      <c r="C21" s="27" t="n"/>
      <c r="D21" s="27" t="n"/>
      <c r="E21" s="27" t="n"/>
      <c r="F21" s="27" t="n"/>
      <c r="G21" s="27" t="n"/>
      <c r="H21" s="27" t="n"/>
      <c r="I21" s="27" t="n"/>
      <c r="J21" s="27" t="n"/>
      <c r="K21" s="27" t="n"/>
      <c r="L21" s="27" t="n"/>
    </row>
    <row r="22">
      <c r="B22" s="12" t="n"/>
      <c r="C22" s="27" t="n"/>
      <c r="D22" s="27" t="n"/>
      <c r="E22" s="27" t="n"/>
      <c r="F22" s="27" t="n"/>
      <c r="G22" s="27" t="n"/>
      <c r="H22" s="27" t="n"/>
      <c r="I22" s="27" t="n"/>
      <c r="J22" s="27" t="n"/>
      <c r="K22" s="27" t="n"/>
      <c r="L22" s="27" t="n"/>
    </row>
    <row r="23">
      <c r="B23" s="12" t="n"/>
      <c r="C23" s="27" t="n"/>
      <c r="D23" s="27" t="n"/>
      <c r="E23" s="27" t="n"/>
      <c r="F23" s="27" t="n"/>
      <c r="G23" s="27" t="n"/>
      <c r="H23" s="27" t="n"/>
      <c r="I23" s="27" t="n"/>
      <c r="J23" s="27" t="n"/>
      <c r="K23" s="27" t="n"/>
      <c r="L23" s="27" t="n"/>
    </row>
    <row r="24">
      <c r="B24" s="12" t="n"/>
      <c r="C24" s="27" t="n"/>
      <c r="D24" s="27" t="n"/>
      <c r="E24" s="27" t="n"/>
      <c r="F24" s="27" t="n"/>
      <c r="G24" s="27" t="n"/>
      <c r="H24" s="27" t="n"/>
      <c r="I24" s="27" t="n"/>
      <c r="J24" s="27" t="n"/>
      <c r="K24" s="27" t="n"/>
      <c r="L24" s="27" t="n"/>
    </row>
    <row r="25">
      <c r="B25" s="12" t="n"/>
      <c r="C25" s="27" t="n"/>
      <c r="D25" s="27" t="n"/>
      <c r="E25" s="27" t="n"/>
      <c r="F25" s="27" t="n"/>
      <c r="G25" s="27" t="n"/>
      <c r="H25" s="27" t="n"/>
      <c r="I25" s="27" t="n"/>
      <c r="J25" s="27" t="n"/>
      <c r="K25" s="27" t="n"/>
      <c r="L25" s="27" t="n"/>
    </row>
    <row r="26">
      <c r="B26" s="12" t="n"/>
      <c r="C26" s="27" t="n"/>
      <c r="D26" s="27" t="n"/>
      <c r="E26" s="27" t="n"/>
      <c r="F26" s="27" t="n"/>
      <c r="G26" s="27" t="n"/>
      <c r="H26" s="27" t="n"/>
      <c r="I26" s="27" t="n"/>
      <c r="J26" s="27" t="n"/>
      <c r="K26" s="27" t="n"/>
      <c r="L26" s="27" t="n"/>
    </row>
    <row r="27">
      <c r="B27" s="12" t="n"/>
      <c r="C27" s="27" t="n"/>
      <c r="D27" s="27" t="n"/>
      <c r="E27" s="27" t="n"/>
      <c r="F27" s="27" t="n"/>
      <c r="G27" s="27" t="n"/>
      <c r="H27" s="27" t="n"/>
      <c r="I27" s="27" t="n"/>
      <c r="J27" s="27" t="n"/>
      <c r="K27" s="27" t="n"/>
      <c r="L27" s="27" t="n"/>
    </row>
    <row r="28">
      <c r="B28" s="12" t="n"/>
      <c r="C28" s="27" t="n"/>
      <c r="D28" s="27" t="n"/>
      <c r="E28" s="27" t="n"/>
      <c r="F28" s="27" t="n"/>
      <c r="G28" s="27" t="n"/>
      <c r="H28" s="27" t="n"/>
      <c r="I28" s="27" t="n"/>
      <c r="J28" s="27" t="n"/>
      <c r="K28" s="27" t="n"/>
      <c r="L28" s="27" t="n"/>
    </row>
    <row r="29">
      <c r="B29" s="12" t="n"/>
      <c r="C29" s="27" t="n"/>
      <c r="D29" s="27" t="n"/>
      <c r="E29" s="27" t="n"/>
      <c r="F29" s="27" t="n"/>
      <c r="G29" s="27" t="n"/>
      <c r="H29" s="27" t="n"/>
      <c r="I29" s="27" t="n"/>
      <c r="J29" s="27" t="n"/>
      <c r="K29" s="27" t="n"/>
      <c r="L29" s="27" t="n"/>
    </row>
    <row r="30">
      <c r="B30" s="12" t="n"/>
      <c r="C30" s="27" t="n"/>
      <c r="D30" s="27" t="n"/>
      <c r="E30" s="27" t="n"/>
      <c r="F30" s="27" t="n"/>
      <c r="G30" s="27" t="n"/>
      <c r="H30" s="27" t="n"/>
      <c r="I30" s="27" t="n"/>
      <c r="J30" s="27" t="n"/>
      <c r="K30" s="27" t="n"/>
      <c r="L30" s="27" t="n"/>
    </row>
    <row r="31">
      <c r="B31" s="12" t="n"/>
      <c r="C31" s="27" t="n"/>
      <c r="D31" s="27" t="n"/>
      <c r="E31" s="27" t="n"/>
      <c r="F31" s="27" t="n"/>
      <c r="G31" s="27" t="n"/>
      <c r="H31" s="27" t="n"/>
      <c r="I31" s="27" t="n"/>
      <c r="J31" s="27" t="n"/>
      <c r="K31" s="27" t="n"/>
      <c r="L31" s="27" t="n"/>
    </row>
    <row r="32">
      <c r="B32" s="12" t="n"/>
      <c r="C32" s="27" t="n"/>
      <c r="D32" s="27" t="n"/>
      <c r="E32" s="27" t="n"/>
      <c r="F32" s="27" t="n"/>
      <c r="G32" s="27" t="n"/>
      <c r="H32" s="27" t="n"/>
      <c r="I32" s="27" t="n"/>
      <c r="J32" s="27" t="n"/>
      <c r="K32" s="27" t="n"/>
      <c r="L32" s="27" t="n"/>
    </row>
    <row r="35" ht="30" customHeight="1">
      <c r="B35" s="22" t="inlineStr">
        <is>
          <t>📈  Backtest your conviction
When you bought AAPL at $128, what was your thesis? Compare the 12-month price log to the assumptions you wrote down then. Position Health Check (AI Edition page 9) walks this discipline. Right-aligned tabular numerics let you scan a row at a glance.</t>
        </is>
      </c>
      <c r="C35" s="93" t="n"/>
      <c r="D35" s="93" t="n"/>
      <c r="E35" s="93" t="n"/>
      <c r="F35" s="93" t="n"/>
      <c r="G35" s="93" t="n"/>
      <c r="H35" s="93" t="n"/>
      <c r="I35" s="93" t="n"/>
      <c r="J35" s="93" t="n"/>
      <c r="K35" s="93" t="n"/>
      <c r="L35" s="94" t="n"/>
    </row>
    <row r="36" ht="30" customHeight="1">
      <c r="B36" s="95" t="n"/>
      <c r="C36" s="96" t="n"/>
      <c r="D36" s="96" t="n"/>
      <c r="E36" s="96" t="n"/>
      <c r="F36" s="96" t="n"/>
      <c r="G36" s="96" t="n"/>
      <c r="H36" s="96" t="n"/>
      <c r="I36" s="96" t="n"/>
      <c r="J36" s="96" t="n"/>
      <c r="K36" s="96" t="n"/>
      <c r="L36" s="97" t="n"/>
    </row>
    <row r="40" ht="3" customHeight="1">
      <c r="A40" s="9" t="n"/>
    </row>
    <row r="41" ht="22" customHeight="1">
      <c r="A41" s="23" t="inlineStr">
        <is>
          <t>Lime Premium Studios  ·  Investment Portfolio Tracker Pro v1.0  ·  Privacy-first. No Plaid. No app.</t>
        </is>
      </c>
    </row>
  </sheetData>
  <mergeCells count="17">
    <mergeCell ref="K2:M2"/>
    <mergeCell ref="A2:B2"/>
    <mergeCell ref="D1:I1"/>
    <mergeCell ref="C2:D2"/>
    <mergeCell ref="A1:C1"/>
    <mergeCell ref="G2:H2"/>
    <mergeCell ref="E2:F2"/>
    <mergeCell ref="B6:L6"/>
    <mergeCell ref="I2:J2"/>
    <mergeCell ref="B7:L7"/>
    <mergeCell ref="A40:M40"/>
    <mergeCell ref="A4:M4"/>
    <mergeCell ref="A3:M3"/>
    <mergeCell ref="B35:L36"/>
    <mergeCell ref="A41:M41"/>
    <mergeCell ref="J1:M1"/>
    <mergeCell ref="B8:L8"/>
  </mergeCells>
  <pageMargins left="0.7" right="0.7" top="0.75" bottom="0.75" header="0.3" footer="0.3"/>
  <pageSetup orientation="portrait" scale="100" fitToHeight="1" fitToWidth="1" horizontalDpi="4294967295" verticalDpi="4294967295"/>
</worksheet>
</file>

<file path=xl/worksheets/sheet5.xml><?xml version="1.0" encoding="utf-8"?>
<worksheet xmlns="http://schemas.openxmlformats.org/spreadsheetml/2006/main">
  <sheetPr>
    <tabColor rgb="FF3F6B4D"/>
    <outlinePr summaryBelow="1" summaryRight="1"/>
    <pageSetUpPr/>
  </sheetPr>
  <dimension ref="A1:M33"/>
  <sheetViews>
    <sheetView workbookViewId="0">
      <pane ySplit="4" topLeftCell="A5" activePane="bottomLeft" state="frozen"/>
      <selection pane="bottomLeft" activeCell="A1" sqref="A1"/>
    </sheetView>
  </sheetViews>
  <sheetFormatPr baseColWidth="8" defaultRowHeight="15" outlineLevelRow="0"/>
  <cols>
    <col width="2" customWidth="1" min="1" max="1"/>
    <col width="10" customWidth="1" min="2" max="2"/>
    <col width="22" customWidth="1" min="3" max="3"/>
    <col width="10" customWidth="1" min="4" max="7"/>
    <col width="12" customWidth="1" min="8" max="9"/>
    <col width="10" customWidth="1" min="10" max="12"/>
    <col width="2" customWidth="1" min="13" max="13"/>
  </cols>
  <sheetData>
    <row r="1" ht="32" customHeight="1">
      <c r="A1" s="1" t="inlineStr">
        <is>
          <t xml:space="preserve">    Lime Premium Studios</t>
        </is>
      </c>
      <c r="D1" s="2" t="inlineStr">
        <is>
          <t>Investment Portfolio Tracker — Pro</t>
        </is>
      </c>
      <c r="J1" s="3" t="inlineStr">
        <is>
          <t>🗂️ ETFs &amp; Mutual Funds</t>
        </is>
      </c>
    </row>
    <row r="2" ht="54" customHeight="1">
      <c r="A2" s="4">
        <f>"FUNDS"&amp;CHAR(10)&amp;(COUNTA(B9:B22))</f>
        <v/>
      </c>
      <c r="B2" s="91" t="n"/>
      <c r="C2" s="4">
        <f>"AVG ER"&amp;CHAR(10)&amp;(TEXT(IFERROR(AVERAGE(F9:F22),0),"0.00%"))</f>
        <v/>
      </c>
      <c r="D2" s="91" t="n"/>
      <c r="E2" s="4">
        <f>"TOTAL VALUE"&amp;CHAR(10)&amp;(TEXT(SUM(I9:I22),"$#,##0"))</f>
        <v/>
      </c>
      <c r="F2" s="91" t="n"/>
      <c r="G2" s="4">
        <f>"ER COST/YR"&amp;CHAR(10)&amp;(TEXT(SUMPRODUCT(F9:F22,I9:I22),"$#,##0"))</f>
        <v/>
      </c>
      <c r="H2" s="91" t="n"/>
      <c r="I2" s="4">
        <f>"LOW-ER FUNDS"&amp;CHAR(10)&amp;(COUNTIF(F9:F22,"&lt;0.001"))</f>
        <v/>
      </c>
      <c r="J2" s="91" t="n"/>
      <c r="K2" s="4">
        <f>"HIGH-ER FUNDS"&amp;CHAR(10)&amp;(COUNTIF(F9:F22,"&gt;0.0075"))</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Expense ratio highlighted — pays for itself over time. Distribution badges on payment months. Look-through to top-10 holdings.</t>
        </is>
      </c>
    </row>
    <row r="6" ht="26" customHeight="1">
      <c r="B6" s="7" t="inlineStr">
        <is>
          <t>ETF + Mutual Fund holdings</t>
        </is>
      </c>
    </row>
    <row r="7" ht="18" customHeight="1">
      <c r="B7" s="8" t="inlineStr">
        <is>
          <t>Expense ratio (column F) compounds against you. Below 0.10% is excellent; above 0.75% is a yellow flag worth re-evaluating.</t>
        </is>
      </c>
    </row>
    <row r="8" ht="3" customHeight="1">
      <c r="B8" s="9" t="n"/>
    </row>
    <row r="10" ht="24" customHeight="1">
      <c r="B10" s="10" t="inlineStr">
        <is>
          <t>Ticker</t>
        </is>
      </c>
      <c r="C10" s="10" t="inlineStr">
        <is>
          <t>Name</t>
        </is>
      </c>
      <c r="D10" s="10" t="inlineStr">
        <is>
          <t>Type</t>
        </is>
      </c>
      <c r="E10" s="10" t="inlineStr">
        <is>
          <t>Shares</t>
        </is>
      </c>
      <c r="F10" s="10" t="inlineStr">
        <is>
          <t>Cost/sh</t>
        </is>
      </c>
      <c r="G10" s="10" t="inlineStr">
        <is>
          <t>ER</t>
        </is>
      </c>
      <c r="H10" s="10" t="inlineStr">
        <is>
          <t>NAV</t>
        </is>
      </c>
      <c r="I10" s="10" t="inlineStr">
        <is>
          <t>Cost Basis</t>
        </is>
      </c>
      <c r="J10" s="10" t="inlineStr">
        <is>
          <t>Current $</t>
        </is>
      </c>
      <c r="K10" s="10" t="inlineStr">
        <is>
          <t>Dist Yld</t>
        </is>
      </c>
      <c r="L10" s="11" t="inlineStr">
        <is>
          <t>Last Dist</t>
        </is>
      </c>
    </row>
    <row r="11">
      <c r="B11" s="12" t="inlineStr">
        <is>
          <t>VTI</t>
        </is>
      </c>
      <c r="C11" s="25" t="inlineStr">
        <is>
          <t>Vanguard Total Stock Market ETF</t>
        </is>
      </c>
      <c r="D11" s="42" t="inlineStr">
        <is>
          <t>ETF</t>
        </is>
      </c>
      <c r="E11" s="39" t="n">
        <v>350</v>
      </c>
      <c r="F11" s="27" t="n">
        <v>185.4</v>
      </c>
      <c r="G11" s="43" t="n">
        <v>0.0003</v>
      </c>
      <c r="H11" s="29" t="n">
        <v>245</v>
      </c>
      <c r="I11" s="17">
        <f>IFERROR(E11*F11,"")</f>
        <v/>
      </c>
      <c r="J11" s="30">
        <f>IFERROR(E11*H11,"")</f>
        <v/>
      </c>
      <c r="K11" s="44" t="n">
        <v>0.014</v>
      </c>
      <c r="L11" s="45" t="inlineStr">
        <is>
          <t>Mar</t>
        </is>
      </c>
    </row>
    <row r="12">
      <c r="B12" s="12" t="inlineStr">
        <is>
          <t>VOO</t>
        </is>
      </c>
      <c r="C12" s="25" t="inlineStr">
        <is>
          <t>Vanguard S&amp;P 500 ETF</t>
        </is>
      </c>
      <c r="D12" s="42" t="inlineStr">
        <is>
          <t>ETF</t>
        </is>
      </c>
      <c r="E12" s="39" t="n">
        <v>60</v>
      </c>
      <c r="F12" s="27" t="n">
        <v>380.2</v>
      </c>
      <c r="G12" s="43" t="n">
        <v>0.0003</v>
      </c>
      <c r="H12" s="29" t="n">
        <v>440</v>
      </c>
      <c r="I12" s="17">
        <f>IFERROR(E12*F12,"")</f>
        <v/>
      </c>
      <c r="J12" s="30">
        <f>IFERROR(E12*H12,"")</f>
        <v/>
      </c>
      <c r="K12" s="44" t="n">
        <v>0.013</v>
      </c>
      <c r="L12" s="45" t="inlineStr">
        <is>
          <t>Mar</t>
        </is>
      </c>
    </row>
    <row r="13">
      <c r="B13" s="12" t="inlineStr">
        <is>
          <t>VXUS</t>
        </is>
      </c>
      <c r="C13" s="25" t="inlineStr">
        <is>
          <t>Vanguard Total International ETF</t>
        </is>
      </c>
      <c r="D13" s="42" t="inlineStr">
        <is>
          <t>ETF</t>
        </is>
      </c>
      <c r="E13" s="39" t="n">
        <v>180</v>
      </c>
      <c r="F13" s="27" t="n">
        <v>56.8</v>
      </c>
      <c r="G13" s="43" t="n">
        <v>0.0007</v>
      </c>
      <c r="H13" s="29" t="n">
        <v>59.8</v>
      </c>
      <c r="I13" s="17">
        <f>IFERROR(E13*F13,"")</f>
        <v/>
      </c>
      <c r="J13" s="30">
        <f>IFERROR(E13*H13,"")</f>
        <v/>
      </c>
      <c r="K13" s="44" t="n">
        <v>0.029</v>
      </c>
      <c r="L13" s="45" t="inlineStr">
        <is>
          <t>Jun</t>
        </is>
      </c>
    </row>
    <row r="14">
      <c r="B14" s="12" t="inlineStr">
        <is>
          <t>SCHD</t>
        </is>
      </c>
      <c r="C14" s="25" t="inlineStr">
        <is>
          <t>Schwab US Dividend Equity ETF</t>
        </is>
      </c>
      <c r="D14" s="42" t="inlineStr">
        <is>
          <t>ETF</t>
        </is>
      </c>
      <c r="E14" s="39" t="n">
        <v>220</v>
      </c>
      <c r="F14" s="27" t="n">
        <v>71.40000000000001</v>
      </c>
      <c r="G14" s="43" t="n">
        <v>0.0005999999999999999</v>
      </c>
      <c r="H14" s="29" t="n">
        <v>82.09999999999999</v>
      </c>
      <c r="I14" s="17">
        <f>IFERROR(E14*F14,"")</f>
        <v/>
      </c>
      <c r="J14" s="30">
        <f>IFERROR(E14*H14,"")</f>
        <v/>
      </c>
      <c r="K14" s="44" t="n">
        <v>0.034</v>
      </c>
      <c r="L14" s="45" t="inlineStr">
        <is>
          <t>Mar</t>
        </is>
      </c>
    </row>
    <row r="15">
      <c r="B15" s="12" t="inlineStr">
        <is>
          <t>VYM</t>
        </is>
      </c>
      <c r="C15" s="25" t="inlineStr">
        <is>
          <t>Vanguard High Dividend Yield ETF</t>
        </is>
      </c>
      <c r="D15" s="42" t="inlineStr">
        <is>
          <t>ETF</t>
        </is>
      </c>
      <c r="E15" s="39" t="n">
        <v>80</v>
      </c>
      <c r="F15" s="27" t="n">
        <v>105.2</v>
      </c>
      <c r="G15" s="43" t="n">
        <v>0.0005999999999999999</v>
      </c>
      <c r="H15" s="29" t="n">
        <v>117.6</v>
      </c>
      <c r="I15" s="17">
        <f>IFERROR(E15*F15,"")</f>
        <v/>
      </c>
      <c r="J15" s="30">
        <f>IFERROR(E15*H15,"")</f>
        <v/>
      </c>
      <c r="K15" s="44" t="n">
        <v>0.029</v>
      </c>
      <c r="L15" s="45" t="inlineStr">
        <is>
          <t>Mar</t>
        </is>
      </c>
    </row>
    <row r="16">
      <c r="B16" s="12" t="inlineStr">
        <is>
          <t>VTSAX</t>
        </is>
      </c>
      <c r="C16" s="25" t="inlineStr">
        <is>
          <t>Vanguard Total Stock Mkt Index</t>
        </is>
      </c>
      <c r="D16" s="42" t="inlineStr">
        <is>
          <t>Mutual</t>
        </is>
      </c>
      <c r="E16" s="39" t="n">
        <v>266</v>
      </c>
      <c r="F16" s="27" t="n">
        <v>94</v>
      </c>
      <c r="G16" s="43" t="n">
        <v>0.0004</v>
      </c>
      <c r="H16" s="29" t="n">
        <v>124.5</v>
      </c>
      <c r="I16" s="17">
        <f>IFERROR(E16*F16,"")</f>
        <v/>
      </c>
      <c r="J16" s="30">
        <f>IFERROR(E16*H16,"")</f>
        <v/>
      </c>
      <c r="K16" s="44" t="n">
        <v>0.014</v>
      </c>
      <c r="L16" s="45" t="inlineStr">
        <is>
          <t>Dec</t>
        </is>
      </c>
    </row>
    <row r="17">
      <c r="B17" s="12" t="inlineStr">
        <is>
          <t>BND</t>
        </is>
      </c>
      <c r="C17" s="25" t="inlineStr">
        <is>
          <t>Vanguard Total Bond Market ETF</t>
        </is>
      </c>
      <c r="D17" s="42" t="inlineStr">
        <is>
          <t>ETF</t>
        </is>
      </c>
      <c r="E17" s="39" t="n">
        <v>285</v>
      </c>
      <c r="F17" s="27" t="n">
        <v>78.2</v>
      </c>
      <c r="G17" s="43" t="n">
        <v>0.0003</v>
      </c>
      <c r="H17" s="29" t="n">
        <v>75.09999999999999</v>
      </c>
      <c r="I17" s="17">
        <f>IFERROR(E17*F17,"")</f>
        <v/>
      </c>
      <c r="J17" s="30">
        <f>IFERROR(E17*H17,"")</f>
        <v/>
      </c>
      <c r="K17" s="44" t="n">
        <v>0.041</v>
      </c>
      <c r="L17" s="45" t="inlineStr">
        <is>
          <t>Monthly</t>
        </is>
      </c>
    </row>
    <row r="18">
      <c r="B18" s="12" t="n"/>
      <c r="C18" s="25" t="n"/>
      <c r="D18" s="42" t="n"/>
      <c r="E18" s="39" t="n"/>
      <c r="F18" s="27" t="n"/>
      <c r="G18" s="43" t="n"/>
      <c r="H18" s="29" t="n"/>
      <c r="I18" s="17">
        <f>IFERROR(E18*F18,"")</f>
        <v/>
      </c>
      <c r="J18" s="30">
        <f>IFERROR(E18*H18,"")</f>
        <v/>
      </c>
      <c r="K18" s="44" t="n"/>
      <c r="L18" s="45" t="n"/>
    </row>
    <row r="19">
      <c r="B19" s="12" t="n"/>
      <c r="C19" s="25" t="n"/>
      <c r="D19" s="42" t="n"/>
      <c r="E19" s="39" t="n"/>
      <c r="F19" s="27" t="n"/>
      <c r="G19" s="43" t="n"/>
      <c r="H19" s="29" t="n"/>
      <c r="I19" s="17">
        <f>IFERROR(E19*F19,"")</f>
        <v/>
      </c>
      <c r="J19" s="30">
        <f>IFERROR(E19*H19,"")</f>
        <v/>
      </c>
      <c r="K19" s="44" t="n"/>
      <c r="L19" s="45" t="n"/>
    </row>
    <row r="20">
      <c r="B20" s="12" t="n"/>
      <c r="C20" s="25" t="n"/>
      <c r="D20" s="42" t="n"/>
      <c r="E20" s="39" t="n"/>
      <c r="F20" s="27" t="n"/>
      <c r="G20" s="43" t="n"/>
      <c r="H20" s="29" t="n"/>
      <c r="I20" s="17">
        <f>IFERROR(E20*F20,"")</f>
        <v/>
      </c>
      <c r="J20" s="30">
        <f>IFERROR(E20*H20,"")</f>
        <v/>
      </c>
      <c r="K20" s="44" t="n"/>
      <c r="L20" s="45" t="n"/>
    </row>
    <row r="21">
      <c r="B21" s="12" t="n"/>
      <c r="C21" s="25" t="n"/>
      <c r="D21" s="42" t="n"/>
      <c r="E21" s="39" t="n"/>
      <c r="F21" s="27" t="n"/>
      <c r="G21" s="43" t="n"/>
      <c r="H21" s="29" t="n"/>
      <c r="I21" s="17">
        <f>IFERROR(E21*F21,"")</f>
        <v/>
      </c>
      <c r="J21" s="30">
        <f>IFERROR(E21*H21,"")</f>
        <v/>
      </c>
      <c r="K21" s="44" t="n"/>
      <c r="L21" s="45" t="n"/>
    </row>
    <row r="22">
      <c r="B22" s="12" t="n"/>
      <c r="C22" s="25" t="n"/>
      <c r="D22" s="42" t="n"/>
      <c r="E22" s="39" t="n"/>
      <c r="F22" s="27" t="n"/>
      <c r="G22" s="43" t="n"/>
      <c r="H22" s="29" t="n"/>
      <c r="I22" s="17">
        <f>IFERROR(E22*F22,"")</f>
        <v/>
      </c>
      <c r="J22" s="30">
        <f>IFERROR(E22*H22,"")</f>
        <v/>
      </c>
      <c r="K22" s="44" t="n"/>
      <c r="L22" s="45" t="n"/>
    </row>
    <row r="23">
      <c r="B23" s="12" t="n"/>
      <c r="C23" s="25" t="n"/>
      <c r="D23" s="42" t="n"/>
      <c r="E23" s="39" t="n"/>
      <c r="F23" s="27" t="n"/>
      <c r="G23" s="43" t="n"/>
      <c r="H23" s="29" t="n"/>
      <c r="I23" s="17">
        <f>IFERROR(E23*F23,"")</f>
        <v/>
      </c>
      <c r="J23" s="30">
        <f>IFERROR(E23*H23,"")</f>
        <v/>
      </c>
      <c r="K23" s="44" t="n"/>
      <c r="L23" s="45" t="n"/>
    </row>
    <row r="24">
      <c r="B24" s="12" t="n"/>
      <c r="C24" s="25" t="n"/>
      <c r="D24" s="42" t="n"/>
      <c r="E24" s="39" t="n"/>
      <c r="F24" s="27" t="n"/>
      <c r="G24" s="43" t="n"/>
      <c r="H24" s="29" t="n"/>
      <c r="I24" s="17">
        <f>IFERROR(E24*F24,"")</f>
        <v/>
      </c>
      <c r="J24" s="30">
        <f>IFERROR(E24*H24,"")</f>
        <v/>
      </c>
      <c r="K24" s="44" t="n"/>
      <c r="L24" s="45" t="n"/>
    </row>
    <row r="27" ht="30" customHeight="1">
      <c r="B27" s="22" t="inlineStr">
        <is>
          <t>🔍  Look-through is the hidden concentration
VTI + VOO share 80-90% of their top-10 holdings. If you own both, ~40% of your portfolio is the same handful of mega-caps you bought twice. The AI Edition Look-Through Analyzer (page 6) calculates true exposure across funds.</t>
        </is>
      </c>
      <c r="C27" s="93" t="n"/>
      <c r="D27" s="93" t="n"/>
      <c r="E27" s="93" t="n"/>
      <c r="F27" s="93" t="n"/>
      <c r="G27" s="93" t="n"/>
      <c r="H27" s="93" t="n"/>
      <c r="I27" s="93" t="n"/>
      <c r="J27" s="93" t="n"/>
      <c r="K27" s="93" t="n"/>
      <c r="L27" s="94" t="n"/>
    </row>
    <row r="28" ht="30" customHeight="1">
      <c r="B28" s="95" t="n"/>
      <c r="C28" s="96" t="n"/>
      <c r="D28" s="96" t="n"/>
      <c r="E28" s="96" t="n"/>
      <c r="F28" s="96" t="n"/>
      <c r="G28" s="96" t="n"/>
      <c r="H28" s="96" t="n"/>
      <c r="I28" s="96" t="n"/>
      <c r="J28" s="96" t="n"/>
      <c r="K28" s="96" t="n"/>
      <c r="L28" s="97" t="n"/>
    </row>
    <row r="32" ht="3" customHeight="1">
      <c r="A32" s="9" t="n"/>
    </row>
    <row r="33" ht="22" customHeight="1">
      <c r="A33" s="23" t="inlineStr">
        <is>
          <t>Lime Premium Studios  ·  Investment Portfolio Tracker Pro v1.0  ·  Privacy-first. No Plaid. No app.</t>
        </is>
      </c>
    </row>
  </sheetData>
  <mergeCells count="17">
    <mergeCell ref="B27:L28"/>
    <mergeCell ref="K2:M2"/>
    <mergeCell ref="A2:B2"/>
    <mergeCell ref="D1:I1"/>
    <mergeCell ref="C2:D2"/>
    <mergeCell ref="A1:C1"/>
    <mergeCell ref="G2:H2"/>
    <mergeCell ref="E2:F2"/>
    <mergeCell ref="B6:L6"/>
    <mergeCell ref="I2:J2"/>
    <mergeCell ref="B7:L7"/>
    <mergeCell ref="A32:M32"/>
    <mergeCell ref="A4:M4"/>
    <mergeCell ref="A3:M3"/>
    <mergeCell ref="A33:M33"/>
    <mergeCell ref="J1:M1"/>
    <mergeCell ref="B8:L8"/>
  </mergeCells>
  <conditionalFormatting sqref="G11:G24">
    <cfRule type="cellIs" priority="1" operator="greaterThan" dxfId="7">
      <formula>0.0075</formula>
    </cfRule>
    <cfRule type="cellIs" priority="2" operator="lessThan" dxfId="6">
      <formula>0.001</formula>
    </cfRule>
  </conditionalFormatting>
  <dataValidations count="1">
    <dataValidation sqref="D11:D24" showDropDown="0" showInputMessage="0" showErrorMessage="0" allowBlank="1" type="list">
      <formula1>"ETF,Mutual,Index"</formula1>
    </dataValidation>
  </dataValidations>
  <pageMargins left="0.7" right="0.7" top="0.75" bottom="0.75" header="0.3" footer="0.3"/>
  <pageSetup orientation="portrait" scale="100" fitToHeight="1" fitToWidth="1" horizontalDpi="4294967295" verticalDpi="4294967295"/>
</worksheet>
</file>

<file path=xl/worksheets/sheet6.xml><?xml version="1.0" encoding="utf-8"?>
<worksheet xmlns="http://schemas.openxmlformats.org/spreadsheetml/2006/main">
  <sheetPr>
    <tabColor rgb="FFC9A14A"/>
    <outlinePr summaryBelow="1" summaryRight="1"/>
    <pageSetUpPr/>
  </sheetPr>
  <dimension ref="A1:N41"/>
  <sheetViews>
    <sheetView workbookViewId="0">
      <pane ySplit="4" topLeftCell="A5" activePane="bottomLeft" state="frozen"/>
      <selection pane="bottomLeft" activeCell="A1" sqref="A1"/>
    </sheetView>
  </sheetViews>
  <sheetFormatPr baseColWidth="8" defaultRowHeight="15" outlineLevelRow="0"/>
  <cols>
    <col width="2" customWidth="1" min="1" max="1"/>
    <col width="10" customWidth="1" min="2" max="2"/>
    <col width="8" customWidth="1" min="3" max="12"/>
    <col width="11" customWidth="1" min="14" max="14"/>
  </cols>
  <sheetData>
    <row r="1" ht="32" customHeight="1">
      <c r="A1" s="1" t="inlineStr">
        <is>
          <t xml:space="preserve">    Lime Premium Studios</t>
        </is>
      </c>
      <c r="D1" s="2" t="inlineStr">
        <is>
          <t>Investment Portfolio Tracker — Pro</t>
        </is>
      </c>
      <c r="J1" s="3" t="inlineStr">
        <is>
          <t>💰 Dividend Income Calendar</t>
        </is>
      </c>
    </row>
    <row r="2" ht="54" customHeight="1">
      <c r="A2" s="4">
        <f>"PAYERS"&amp;CHAR(10)&amp;(COUNTA(B9:B28))</f>
        <v/>
      </c>
      <c r="B2" s="91" t="n"/>
      <c r="C2" s="4">
        <f>"YTD INCOME"&amp;CHAR(10)&amp;(TEXT(SUM(N9:N28),"$#,##0"))</f>
        <v/>
      </c>
      <c r="D2" s="91" t="n"/>
      <c r="E2" s="4">
        <f>"MoM AVG"&amp;CHAR(10)&amp;(TEXT(IFERROR(SUM(N9:N28)/12,0),"$#,##0"))</f>
        <v/>
      </c>
      <c r="F2" s="91" t="n"/>
      <c r="G2" s="4">
        <f>"BIG MONTH"&amp;CHAR(10)&amp;(IFERROR(INDEX($C$8:$M$8,MATCH(MAX(SUMPRODUCT((C9:M28))),C9:M28,0)),"—"))</f>
        <v/>
      </c>
      <c r="H2" s="91" t="n"/>
      <c r="I2" s="4">
        <f>"AVG YOC"&amp;CHAR(10)&amp;(TEXT(IFERROR(SUM(N9:N28)/SUMIF('📊 Holdings Master'!H9:H68,"&gt;0",'📊 Holdings Master'!H9:H68),0),"0.00%"))</f>
        <v/>
      </c>
      <c r="J2" s="91" t="n"/>
      <c r="K2" s="4">
        <f>"PAYMENTS"&amp;CHAR(10)&amp;(SUMPRODUCT((C9:M28&gt;0)*1))</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12-month forward calendar. Cash-gap-month flag where projected income is significantly lower. Yield-on-cost in column N.</t>
        </is>
      </c>
    </row>
    <row r="6" ht="26" customHeight="1">
      <c r="B6" s="7" t="inlineStr">
        <is>
          <t>Projected dividend income — next 12 months</t>
        </is>
      </c>
    </row>
    <row r="7" ht="18" customHeight="1">
      <c r="B7" s="8" t="inlineStr">
        <is>
          <t>Per-payer × per-month $ projected. Cash-gap months show empty cells; the AI Dividend Optimizer prompt (page 8) suggests fills.</t>
        </is>
      </c>
    </row>
    <row r="8" ht="3" customHeight="1">
      <c r="B8" s="9" t="n"/>
    </row>
    <row r="10" ht="24" customHeight="1">
      <c r="B10" s="33" t="inlineStr">
        <is>
          <t>Payer</t>
        </is>
      </c>
      <c r="C10" s="46" t="inlineStr">
        <is>
          <t>Jan</t>
        </is>
      </c>
      <c r="D10" s="46" t="inlineStr">
        <is>
          <t>Feb</t>
        </is>
      </c>
      <c r="E10" s="46" t="inlineStr">
        <is>
          <t>Mar</t>
        </is>
      </c>
      <c r="F10" s="46" t="inlineStr">
        <is>
          <t>Apr</t>
        </is>
      </c>
      <c r="G10" s="46" t="inlineStr">
        <is>
          <t>May</t>
        </is>
      </c>
      <c r="H10" s="46" t="inlineStr">
        <is>
          <t>Jun</t>
        </is>
      </c>
      <c r="I10" s="46" t="inlineStr">
        <is>
          <t>Jul</t>
        </is>
      </c>
      <c r="J10" s="46" t="inlineStr">
        <is>
          <t>Aug</t>
        </is>
      </c>
      <c r="K10" s="46" t="inlineStr">
        <is>
          <t>Sep</t>
        </is>
      </c>
      <c r="L10" s="46" t="inlineStr">
        <is>
          <t>Oct</t>
        </is>
      </c>
      <c r="M10" s="46" t="inlineStr">
        <is>
          <t>Nov</t>
        </is>
      </c>
      <c r="N10" s="47" t="inlineStr">
        <is>
          <t>YTD Total</t>
        </is>
      </c>
    </row>
    <row r="11">
      <c r="B11" s="12" t="inlineStr">
        <is>
          <t>SCHD</t>
        </is>
      </c>
      <c r="C11" s="48" t="n"/>
      <c r="D11" s="48" t="n"/>
      <c r="E11" s="48" t="n">
        <v>156</v>
      </c>
      <c r="F11" s="48" t="n"/>
      <c r="G11" s="48" t="n"/>
      <c r="H11" s="48" t="n">
        <v>156</v>
      </c>
      <c r="I11" s="48" t="n"/>
      <c r="J11" s="48" t="n"/>
      <c r="K11" s="48" t="n">
        <v>156</v>
      </c>
      <c r="L11" s="48" t="n"/>
      <c r="M11" s="48" t="n"/>
      <c r="N11" s="49">
        <f>IFERROR(SUM(C11:M11),0)</f>
        <v/>
      </c>
    </row>
    <row r="12">
      <c r="B12" s="12" t="inlineStr">
        <is>
          <t>VYM</t>
        </is>
      </c>
      <c r="C12" s="48" t="n"/>
      <c r="D12" s="48" t="n"/>
      <c r="E12" s="48" t="n">
        <v>74</v>
      </c>
      <c r="F12" s="48" t="n"/>
      <c r="G12" s="48" t="n"/>
      <c r="H12" s="48" t="n">
        <v>74</v>
      </c>
      <c r="I12" s="48" t="n"/>
      <c r="J12" s="48" t="n"/>
      <c r="K12" s="48" t="n">
        <v>74</v>
      </c>
      <c r="L12" s="48" t="n"/>
      <c r="M12" s="48" t="n"/>
      <c r="N12" s="49">
        <f>IFERROR(SUM(C12:M12),0)</f>
        <v/>
      </c>
    </row>
    <row r="13">
      <c r="B13" s="12" t="inlineStr">
        <is>
          <t>VNQ</t>
        </is>
      </c>
      <c r="C13" s="48" t="n"/>
      <c r="D13" s="48" t="n"/>
      <c r="E13" s="48" t="n">
        <v>38</v>
      </c>
      <c r="F13" s="48" t="n"/>
      <c r="G13" s="48" t="n"/>
      <c r="H13" s="48" t="n">
        <v>38</v>
      </c>
      <c r="I13" s="48" t="n"/>
      <c r="J13" s="48" t="n"/>
      <c r="K13" s="48" t="n">
        <v>38</v>
      </c>
      <c r="L13" s="48" t="n"/>
      <c r="M13" s="48" t="n"/>
      <c r="N13" s="49">
        <f>IFERROR(SUM(C13:M13),0)</f>
        <v/>
      </c>
    </row>
    <row r="14">
      <c r="B14" s="12" t="inlineStr">
        <is>
          <t>AAPL</t>
        </is>
      </c>
      <c r="C14" s="48" t="n"/>
      <c r="D14" s="48" t="n">
        <v>19</v>
      </c>
      <c r="E14" s="48" t="n"/>
      <c r="F14" s="48" t="n"/>
      <c r="G14" s="48" t="n">
        <v>19</v>
      </c>
      <c r="H14" s="48" t="n"/>
      <c r="I14" s="48" t="n"/>
      <c r="J14" s="48" t="n">
        <v>19</v>
      </c>
      <c r="K14" s="48" t="n"/>
      <c r="L14" s="48" t="n"/>
      <c r="M14" s="48" t="n">
        <v>19</v>
      </c>
      <c r="N14" s="49">
        <f>IFERROR(SUM(C14:M14),0)</f>
        <v/>
      </c>
    </row>
    <row r="15">
      <c r="B15" s="12" t="inlineStr">
        <is>
          <t>MSFT</t>
        </is>
      </c>
      <c r="C15" s="48" t="n"/>
      <c r="D15" s="48" t="n"/>
      <c r="E15" s="48" t="n">
        <v>23</v>
      </c>
      <c r="F15" s="48" t="n"/>
      <c r="G15" s="48" t="n"/>
      <c r="H15" s="48" t="n">
        <v>23</v>
      </c>
      <c r="I15" s="48" t="n"/>
      <c r="J15" s="48" t="n"/>
      <c r="K15" s="48" t="n">
        <v>23</v>
      </c>
      <c r="L15" s="48" t="n"/>
      <c r="M15" s="48" t="n"/>
      <c r="N15" s="49">
        <f>IFERROR(SUM(C15:M15),0)</f>
        <v/>
      </c>
    </row>
    <row r="16">
      <c r="B16" s="12" t="inlineStr">
        <is>
          <t>BND</t>
        </is>
      </c>
      <c r="C16" s="48" t="n">
        <v>78</v>
      </c>
      <c r="D16" s="48" t="n">
        <v>78</v>
      </c>
      <c r="E16" s="48" t="n">
        <v>78</v>
      </c>
      <c r="F16" s="48" t="n">
        <v>78</v>
      </c>
      <c r="G16" s="48" t="n">
        <v>78</v>
      </c>
      <c r="H16" s="48" t="n">
        <v>78</v>
      </c>
      <c r="I16" s="48" t="n">
        <v>78</v>
      </c>
      <c r="J16" s="48" t="n">
        <v>78</v>
      </c>
      <c r="K16" s="48" t="n">
        <v>78</v>
      </c>
      <c r="L16" s="48" t="n">
        <v>78</v>
      </c>
      <c r="M16" s="48" t="n">
        <v>78</v>
      </c>
      <c r="N16" s="49">
        <f>IFERROR(SUM(C16:M16),0)</f>
        <v/>
      </c>
    </row>
    <row r="17">
      <c r="B17" s="12" t="inlineStr">
        <is>
          <t>VXUS</t>
        </is>
      </c>
      <c r="C17" s="48" t="n"/>
      <c r="D17" s="48" t="n"/>
      <c r="E17" s="48" t="n"/>
      <c r="F17" s="48" t="n"/>
      <c r="G17" s="48" t="n"/>
      <c r="H17" s="48" t="n">
        <v>130</v>
      </c>
      <c r="I17" s="48" t="n"/>
      <c r="J17" s="48" t="n"/>
      <c r="K17" s="48" t="n"/>
      <c r="L17" s="48" t="n"/>
      <c r="M17" s="48" t="n"/>
      <c r="N17" s="49">
        <f>IFERROR(SUM(C17:M17),0)</f>
        <v/>
      </c>
    </row>
    <row r="18">
      <c r="B18" s="12" t="inlineStr">
        <is>
          <t>VTI</t>
        </is>
      </c>
      <c r="C18" s="48" t="n"/>
      <c r="D18" s="48" t="n"/>
      <c r="E18" s="48" t="n">
        <v>290</v>
      </c>
      <c r="F18" s="48" t="n"/>
      <c r="G18" s="48" t="n"/>
      <c r="H18" s="48" t="n">
        <v>290</v>
      </c>
      <c r="I18" s="48" t="n"/>
      <c r="J18" s="48" t="n"/>
      <c r="K18" s="48" t="n">
        <v>290</v>
      </c>
      <c r="L18" s="48" t="n"/>
      <c r="M18" s="48" t="n"/>
      <c r="N18" s="49">
        <f>IFERROR(SUM(C18:M18),0)</f>
        <v/>
      </c>
    </row>
    <row r="19">
      <c r="B19" s="12" t="inlineStr">
        <is>
          <t>VOO</t>
        </is>
      </c>
      <c r="C19" s="48" t="n"/>
      <c r="D19" s="48" t="n"/>
      <c r="E19" s="48" t="n">
        <v>86</v>
      </c>
      <c r="F19" s="48" t="n"/>
      <c r="G19" s="48" t="n"/>
      <c r="H19" s="48" t="n">
        <v>86</v>
      </c>
      <c r="I19" s="48" t="n"/>
      <c r="J19" s="48" t="n"/>
      <c r="K19" s="48" t="n">
        <v>86</v>
      </c>
      <c r="L19" s="48" t="n"/>
      <c r="M19" s="48" t="n"/>
      <c r="N19" s="49">
        <f>IFERROR(SUM(C19:M19),0)</f>
        <v/>
      </c>
    </row>
    <row r="20">
      <c r="B20" s="12" t="n"/>
      <c r="C20" s="48" t="n"/>
      <c r="D20" s="48" t="n"/>
      <c r="E20" s="48" t="n"/>
      <c r="F20" s="48" t="n"/>
      <c r="G20" s="48" t="n"/>
      <c r="H20" s="48" t="n"/>
      <c r="I20" s="48" t="n"/>
      <c r="J20" s="48" t="n"/>
      <c r="K20" s="48" t="n"/>
      <c r="L20" s="48" t="n"/>
      <c r="M20" s="48" t="n"/>
      <c r="N20" s="49">
        <f>IFERROR(SUM(C20:M20),0)</f>
        <v/>
      </c>
    </row>
    <row r="21">
      <c r="B21" s="12" t="n"/>
      <c r="C21" s="48" t="n"/>
      <c r="D21" s="48" t="n"/>
      <c r="E21" s="48" t="n"/>
      <c r="F21" s="48" t="n"/>
      <c r="G21" s="48" t="n"/>
      <c r="H21" s="48" t="n"/>
      <c r="I21" s="48" t="n"/>
      <c r="J21" s="48" t="n"/>
      <c r="K21" s="48" t="n"/>
      <c r="L21" s="48" t="n"/>
      <c r="M21" s="48" t="n"/>
      <c r="N21" s="49">
        <f>IFERROR(SUM(C21:M21),0)</f>
        <v/>
      </c>
    </row>
    <row r="22">
      <c r="B22" s="12" t="n"/>
      <c r="C22" s="48" t="n"/>
      <c r="D22" s="48" t="n"/>
      <c r="E22" s="48" t="n"/>
      <c r="F22" s="48" t="n"/>
      <c r="G22" s="48" t="n"/>
      <c r="H22" s="48" t="n"/>
      <c r="I22" s="48" t="n"/>
      <c r="J22" s="48" t="n"/>
      <c r="K22" s="48" t="n"/>
      <c r="L22" s="48" t="n"/>
      <c r="M22" s="48" t="n"/>
      <c r="N22" s="49">
        <f>IFERROR(SUM(C22:M22),0)</f>
        <v/>
      </c>
    </row>
    <row r="23">
      <c r="B23" s="12" t="n"/>
      <c r="C23" s="48" t="n"/>
      <c r="D23" s="48" t="n"/>
      <c r="E23" s="48" t="n"/>
      <c r="F23" s="48" t="n"/>
      <c r="G23" s="48" t="n"/>
      <c r="H23" s="48" t="n"/>
      <c r="I23" s="48" t="n"/>
      <c r="J23" s="48" t="n"/>
      <c r="K23" s="48" t="n"/>
      <c r="L23" s="48" t="n"/>
      <c r="M23" s="48" t="n"/>
      <c r="N23" s="49">
        <f>IFERROR(SUM(C23:M23),0)</f>
        <v/>
      </c>
    </row>
    <row r="24">
      <c r="B24" s="12" t="n"/>
      <c r="C24" s="48" t="n"/>
      <c r="D24" s="48" t="n"/>
      <c r="E24" s="48" t="n"/>
      <c r="F24" s="48" t="n"/>
      <c r="G24" s="48" t="n"/>
      <c r="H24" s="48" t="n"/>
      <c r="I24" s="48" t="n"/>
      <c r="J24" s="48" t="n"/>
      <c r="K24" s="48" t="n"/>
      <c r="L24" s="48" t="n"/>
      <c r="M24" s="48" t="n"/>
      <c r="N24" s="49">
        <f>IFERROR(SUM(C24:M24),0)</f>
        <v/>
      </c>
    </row>
    <row r="25">
      <c r="B25" s="12" t="n"/>
      <c r="C25" s="48" t="n"/>
      <c r="D25" s="48" t="n"/>
      <c r="E25" s="48" t="n"/>
      <c r="F25" s="48" t="n"/>
      <c r="G25" s="48" t="n"/>
      <c r="H25" s="48" t="n"/>
      <c r="I25" s="48" t="n"/>
      <c r="J25" s="48" t="n"/>
      <c r="K25" s="48" t="n"/>
      <c r="L25" s="48" t="n"/>
      <c r="M25" s="48" t="n"/>
      <c r="N25" s="49">
        <f>IFERROR(SUM(C25:M25),0)</f>
        <v/>
      </c>
    </row>
    <row r="26">
      <c r="B26" s="12" t="n"/>
      <c r="C26" s="48" t="n"/>
      <c r="D26" s="48" t="n"/>
      <c r="E26" s="48" t="n"/>
      <c r="F26" s="48" t="n"/>
      <c r="G26" s="48" t="n"/>
      <c r="H26" s="48" t="n"/>
      <c r="I26" s="48" t="n"/>
      <c r="J26" s="48" t="n"/>
      <c r="K26" s="48" t="n"/>
      <c r="L26" s="48" t="n"/>
      <c r="M26" s="48" t="n"/>
      <c r="N26" s="49">
        <f>IFERROR(SUM(C26:M26),0)</f>
        <v/>
      </c>
    </row>
    <row r="27">
      <c r="B27" s="12" t="n"/>
      <c r="C27" s="48" t="n"/>
      <c r="D27" s="48" t="n"/>
      <c r="E27" s="48" t="n"/>
      <c r="F27" s="48" t="n"/>
      <c r="G27" s="48" t="n"/>
      <c r="H27" s="48" t="n"/>
      <c r="I27" s="48" t="n"/>
      <c r="J27" s="48" t="n"/>
      <c r="K27" s="48" t="n"/>
      <c r="L27" s="48" t="n"/>
      <c r="M27" s="48" t="n"/>
      <c r="N27" s="49">
        <f>IFERROR(SUM(C27:M27),0)</f>
        <v/>
      </c>
    </row>
    <row r="28">
      <c r="B28" s="12" t="n"/>
      <c r="C28" s="48" t="n"/>
      <c r="D28" s="48" t="n"/>
      <c r="E28" s="48" t="n"/>
      <c r="F28" s="48" t="n"/>
      <c r="G28" s="48" t="n"/>
      <c r="H28" s="48" t="n"/>
      <c r="I28" s="48" t="n"/>
      <c r="J28" s="48" t="n"/>
      <c r="K28" s="48" t="n"/>
      <c r="L28" s="48" t="n"/>
      <c r="M28" s="48" t="n"/>
      <c r="N28" s="49">
        <f>IFERROR(SUM(C28:M28),0)</f>
        <v/>
      </c>
    </row>
    <row r="29">
      <c r="B29" s="12" t="n"/>
      <c r="C29" s="48" t="n"/>
      <c r="D29" s="48" t="n"/>
      <c r="E29" s="48" t="n"/>
      <c r="F29" s="48" t="n"/>
      <c r="G29" s="48" t="n"/>
      <c r="H29" s="48" t="n"/>
      <c r="I29" s="48" t="n"/>
      <c r="J29" s="48" t="n"/>
      <c r="K29" s="48" t="n"/>
      <c r="L29" s="48" t="n"/>
      <c r="M29" s="48" t="n"/>
      <c r="N29" s="49">
        <f>IFERROR(SUM(C29:M29),0)</f>
        <v/>
      </c>
    </row>
    <row r="30">
      <c r="B30" s="12" t="n"/>
      <c r="C30" s="48" t="n"/>
      <c r="D30" s="48" t="n"/>
      <c r="E30" s="48" t="n"/>
      <c r="F30" s="48" t="n"/>
      <c r="G30" s="48" t="n"/>
      <c r="H30" s="48" t="n"/>
      <c r="I30" s="48" t="n"/>
      <c r="J30" s="48" t="n"/>
      <c r="K30" s="48" t="n"/>
      <c r="L30" s="48" t="n"/>
      <c r="M30" s="48" t="n"/>
      <c r="N30" s="49">
        <f>IFERROR(SUM(C30:M30),0)</f>
        <v/>
      </c>
    </row>
    <row r="32" ht="26" customHeight="1">
      <c r="B32" s="50" t="inlineStr">
        <is>
          <t>Monthly Total</t>
        </is>
      </c>
      <c r="C32" s="35">
        <f>SUM(C9:C28)</f>
        <v/>
      </c>
      <c r="D32" s="35">
        <f>SUM(D9:D28)</f>
        <v/>
      </c>
      <c r="E32" s="35">
        <f>SUM(E9:E28)</f>
        <v/>
      </c>
      <c r="F32" s="35">
        <f>SUM(F9:F28)</f>
        <v/>
      </c>
      <c r="G32" s="35">
        <f>SUM(G9:G28)</f>
        <v/>
      </c>
      <c r="H32" s="35">
        <f>SUM(H9:H28)</f>
        <v/>
      </c>
      <c r="I32" s="35">
        <f>SUM(I9:I28)</f>
        <v/>
      </c>
      <c r="J32" s="35">
        <f>SUM(J9:J28)</f>
        <v/>
      </c>
      <c r="K32" s="35">
        <f>SUM(K9:K28)</f>
        <v/>
      </c>
      <c r="L32" s="35">
        <f>SUM(L9:L28)</f>
        <v/>
      </c>
      <c r="M32" s="35">
        <f>SUM(M9:M28)</f>
        <v/>
      </c>
      <c r="N32" s="51">
        <f>SUM(N9:N28)</f>
        <v/>
      </c>
    </row>
    <row r="35" ht="32" customHeight="1">
      <c r="B35" s="22" t="inlineStr">
        <is>
          <t>📅  Cash-gap months are an optimization opportunity
Most US dividend payers cluster in Mar/Jun/Sep/Dec (quarterly cycle). Jan/Apr/Jul/Oct can be $0 — a cash-gap month. Adding a monthly-payer like O (Realty Income) or a BDC smooths the calendar. The AI Dividend Optimizer prompt (page 8) names safe candidates.</t>
        </is>
      </c>
      <c r="C35" s="93" t="n"/>
      <c r="D35" s="93" t="n"/>
      <c r="E35" s="93" t="n"/>
      <c r="F35" s="93" t="n"/>
      <c r="G35" s="93" t="n"/>
      <c r="H35" s="93" t="n"/>
      <c r="I35" s="93" t="n"/>
      <c r="J35" s="93" t="n"/>
      <c r="K35" s="93" t="n"/>
      <c r="L35" s="93" t="n"/>
      <c r="M35" s="93" t="n"/>
      <c r="N35" s="94" t="n"/>
    </row>
    <row r="36" ht="32" customHeight="1">
      <c r="B36" s="95" t="n"/>
      <c r="C36" s="96" t="n"/>
      <c r="D36" s="96" t="n"/>
      <c r="E36" s="96" t="n"/>
      <c r="F36" s="96" t="n"/>
      <c r="G36" s="96" t="n"/>
      <c r="H36" s="96" t="n"/>
      <c r="I36" s="96" t="n"/>
      <c r="J36" s="96" t="n"/>
      <c r="K36" s="96" t="n"/>
      <c r="L36" s="96" t="n"/>
      <c r="M36" s="96" t="n"/>
      <c r="N36" s="97" t="n"/>
    </row>
    <row r="40" ht="3" customHeight="1">
      <c r="A40" s="9" t="n"/>
    </row>
    <row r="41" ht="22" customHeight="1">
      <c r="A41" s="23" t="inlineStr">
        <is>
          <t>Lime Premium Studios  ·  Investment Portfolio Tracker Pro v1.0  ·  Privacy-first. No Plaid. No app.</t>
        </is>
      </c>
    </row>
  </sheetData>
  <mergeCells count="17">
    <mergeCell ref="K2:M2"/>
    <mergeCell ref="A2:B2"/>
    <mergeCell ref="D1:I1"/>
    <mergeCell ref="C2:D2"/>
    <mergeCell ref="A1:C1"/>
    <mergeCell ref="G2:H2"/>
    <mergeCell ref="E2:F2"/>
    <mergeCell ref="B8:N8"/>
    <mergeCell ref="I2:J2"/>
    <mergeCell ref="A40:M40"/>
    <mergeCell ref="A4:M4"/>
    <mergeCell ref="A3:M3"/>
    <mergeCell ref="B7:N7"/>
    <mergeCell ref="B6:N6"/>
    <mergeCell ref="A41:M41"/>
    <mergeCell ref="J1:M1"/>
    <mergeCell ref="B35:N36"/>
  </mergeCells>
  <conditionalFormatting sqref="C32:M32">
    <cfRule type="cellIs" priority="1" operator="lessThan" dxfId="11">
      <formula>100</formula>
    </cfRule>
  </conditionalFormatting>
  <pageMargins left="0.7" right="0.7" top="0.75" bottom="0.75" header="0.3" footer="0.3"/>
  <pageSetup orientation="portrait" scale="100" fitToHeight="1" fitToWidth="1" horizontalDpi="4294967295" verticalDpi="4294967295"/>
</worksheet>
</file>

<file path=xl/worksheets/sheet7.xml><?xml version="1.0" encoding="utf-8"?>
<worksheet xmlns="http://schemas.openxmlformats.org/spreadsheetml/2006/main">
  <sheetPr>
    <tabColor rgb="FF1F2A33"/>
    <outlinePr summaryBelow="1" summaryRight="1"/>
    <pageSetUpPr/>
  </sheetPr>
  <dimension ref="A1:M29"/>
  <sheetViews>
    <sheetView workbookViewId="0">
      <pane ySplit="4" topLeftCell="A5" activePane="bottomLeft" state="frozen"/>
      <selection pane="bottomLeft" activeCell="A1" sqref="A1"/>
    </sheetView>
  </sheetViews>
  <sheetFormatPr baseColWidth="8" defaultRowHeight="15" outlineLevelRow="0"/>
  <cols>
    <col width="2" customWidth="1" min="1" max="1"/>
    <col width="16" customWidth="1" min="2" max="2"/>
    <col width="13" customWidth="1" min="3" max="3"/>
    <col width="11" customWidth="1" min="4" max="6"/>
    <col width="15" customWidth="1" min="7" max="7"/>
    <col width="16" customWidth="1" min="8" max="8"/>
    <col width="12" customWidth="1" min="9" max="9"/>
    <col width="11" customWidth="1" min="10" max="12"/>
    <col width="2" customWidth="1" min="13" max="13"/>
  </cols>
  <sheetData>
    <row r="1" ht="32" customHeight="1">
      <c r="A1" s="1" t="inlineStr">
        <is>
          <t xml:space="preserve">    Lime Premium Studios</t>
        </is>
      </c>
      <c r="D1" s="2" t="inlineStr">
        <is>
          <t>Investment Portfolio Tracker — Pro</t>
        </is>
      </c>
      <c r="J1" s="3" t="inlineStr">
        <is>
          <t>📈 Asset Allocation</t>
        </is>
      </c>
    </row>
    <row r="2" ht="54" customHeight="1">
      <c r="A2" s="38" t="inlineStr">
        <is>
          <t>CLASSES
10</t>
        </is>
      </c>
      <c r="B2" s="91" t="n"/>
      <c r="C2" s="4">
        <f>"MAX DRIFT"&amp;CHAR(10)&amp;(TEXT(MAX(F11:F20)-MIN(F11:F20),"0.0%"))</f>
        <v/>
      </c>
      <c r="D2" s="91" t="n"/>
      <c r="E2" s="4">
        <f>"OFF TARGET"&amp;CHAR(10)&amp;(COUNTIF(F11:F20,"&gt;0.05")+COUNTIF(F11:F20,"&lt;-0.05"))</f>
        <v/>
      </c>
      <c r="F2" s="91" t="n"/>
      <c r="G2" s="4">
        <f>"REBALANCE NEEDED"&amp;CHAR(10)&amp;(IF(OR(COUNTIF(F11:F20,"&gt;0.05")&gt;0,COUNTIF(F11:F20,"&lt;-0.05")&gt;0),"YES","NO"))</f>
        <v/>
      </c>
      <c r="H2" s="91" t="n"/>
      <c r="I2" s="4">
        <f>"TOTAL VALUE"&amp;CHAR(10)&amp;(TEXT(SUM(C11:C20),"$#,##0"))</f>
        <v/>
      </c>
      <c r="J2" s="91" t="n"/>
      <c r="K2" s="4">
        <f>"TARGET SUM"&amp;CHAR(10)&amp;(TEXT(SUM(E11:E20),"0%"))</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Current vs target across 10 asset classes. Drift indicators on slices &gt;5pp from target. Rebalancing actions list below the grid.</t>
        </is>
      </c>
    </row>
    <row r="6" ht="26" customHeight="1">
      <c r="B6" s="7" t="inlineStr">
        <is>
          <t>Current vs target allocation — 10 asset classes</t>
        </is>
      </c>
    </row>
    <row r="7" ht="18" customHeight="1">
      <c r="B7" s="8" t="inlineStr">
        <is>
          <t>Target % set in column E (editable). Drift = current minus target. ±2pp = mild; ±5pp = significant. Suggested rebalance moves below.</t>
        </is>
      </c>
    </row>
    <row r="8" ht="3" customHeight="1">
      <c r="B8" s="9" t="n"/>
    </row>
    <row r="10" ht="24" customHeight="1">
      <c r="B10" s="10" t="inlineStr">
        <is>
          <t>Asset Class</t>
        </is>
      </c>
      <c r="C10" s="10" t="inlineStr">
        <is>
          <t>Current $</t>
        </is>
      </c>
      <c r="D10" s="10" t="inlineStr">
        <is>
          <t>Current %</t>
        </is>
      </c>
      <c r="E10" s="10" t="inlineStr">
        <is>
          <t>Target %</t>
        </is>
      </c>
      <c r="F10" s="10" t="inlineStr">
        <is>
          <t>Drift (pp)</t>
        </is>
      </c>
      <c r="G10" s="10" t="inlineStr">
        <is>
          <t>Action</t>
        </is>
      </c>
      <c r="H10" s="10" t="inlineStr">
        <is>
          <t>Rebalance $</t>
        </is>
      </c>
      <c r="I10" s="10" t="inlineStr">
        <is>
          <t>Method</t>
        </is>
      </c>
      <c r="J10" s="11" t="inlineStr">
        <is>
          <t>Tax Cost</t>
        </is>
      </c>
    </row>
    <row r="11">
      <c r="B11" s="16" t="inlineStr">
        <is>
          <t>Stocks</t>
        </is>
      </c>
      <c r="C11" s="17">
        <f>IFERROR(SUMIF('📊 Holdings Master'!D9:D68,B11,'📊 Holdings Master'!J9:J68),0)</f>
        <v/>
      </c>
      <c r="D11" s="18">
        <f>IFERROR(C11/SUM(C11:C20),0)</f>
        <v/>
      </c>
      <c r="E11" s="19" t="n">
        <v>0.4</v>
      </c>
      <c r="F11" s="20">
        <f>D11-E11</f>
        <v/>
      </c>
      <c r="G11" s="52">
        <f>IF(F11&gt;0.05,"🔴 SELL/STOP BUYING",IF(F11&lt;-0.05,"🔴 BUY",IF(F11&gt;0.02,"⚠ Trim",IF(F11&lt;-0.02,"⚠ Add","✓ Hold"))))</f>
        <v/>
      </c>
      <c r="H11" s="53">
        <f>IFERROR(E11*SUM(C11:C20)-C11,0)</f>
        <v/>
      </c>
      <c r="I11" s="41">
        <f>IF(B11="Bonds","Contribution-rebalance",IF(B11="Cash","Direct deposit",IF(F11&gt;0.05,"Sell taxable + tax cost","Redirect new $")))</f>
        <v/>
      </c>
      <c r="J11" s="54">
        <f>IF(I11="Sell taxable + tax cost",IFERROR(H11*-0.15,0),0)</f>
        <v/>
      </c>
    </row>
    <row r="12">
      <c r="B12" s="16" t="inlineStr">
        <is>
          <t>ETFs</t>
        </is>
      </c>
      <c r="C12" s="17">
        <f>IFERROR(SUMIF('📊 Holdings Master'!D9:D68,B12,'📊 Holdings Master'!J9:J68),0)</f>
        <v/>
      </c>
      <c r="D12" s="18">
        <f>IFERROR(C12/SUM(C11:C20),0)</f>
        <v/>
      </c>
      <c r="E12" s="19" t="n">
        <v>0.15</v>
      </c>
      <c r="F12" s="20">
        <f>D12-E12</f>
        <v/>
      </c>
      <c r="G12" s="52">
        <f>IF(F12&gt;0.05,"🔴 SELL/STOP BUYING",IF(F12&lt;-0.05,"🔴 BUY",IF(F12&gt;0.02,"⚠ Trim",IF(F12&lt;-0.02,"⚠ Add","✓ Hold"))))</f>
        <v/>
      </c>
      <c r="H12" s="53">
        <f>IFERROR(E12*SUM(C11:C20)-C12,0)</f>
        <v/>
      </c>
      <c r="I12" s="41">
        <f>IF(B12="Bonds","Contribution-rebalance",IF(B12="Cash","Direct deposit",IF(F12&gt;0.05,"Sell taxable + tax cost","Redirect new $")))</f>
        <v/>
      </c>
      <c r="J12" s="54">
        <f>IF(I12="Sell taxable + tax cost",IFERROR(H12*-0.15,0),0)</f>
        <v/>
      </c>
    </row>
    <row r="13">
      <c r="B13" s="16" t="inlineStr">
        <is>
          <t>Mutual Funds</t>
        </is>
      </c>
      <c r="C13" s="17">
        <f>IFERROR(SUMIF('📊 Holdings Master'!D9:D68,B13,'📊 Holdings Master'!J9:J68),0)</f>
        <v/>
      </c>
      <c r="D13" s="18">
        <f>IFERROR(C13/SUM(C11:C20),0)</f>
        <v/>
      </c>
      <c r="E13" s="19" t="n">
        <v>0.05</v>
      </c>
      <c r="F13" s="20">
        <f>D13-E13</f>
        <v/>
      </c>
      <c r="G13" s="52">
        <f>IF(F13&gt;0.05,"🔴 SELL/STOP BUYING",IF(F13&lt;-0.05,"🔴 BUY",IF(F13&gt;0.02,"⚠ Trim",IF(F13&lt;-0.02,"⚠ Add","✓ Hold"))))</f>
        <v/>
      </c>
      <c r="H13" s="53">
        <f>IFERROR(E13*SUM(C11:C20)-C13,0)</f>
        <v/>
      </c>
      <c r="I13" s="41">
        <f>IF(B13="Bonds","Contribution-rebalance",IF(B13="Cash","Direct deposit",IF(F13&gt;0.05,"Sell taxable + tax cost","Redirect new $")))</f>
        <v/>
      </c>
      <c r="J13" s="54">
        <f>IF(I13="Sell taxable + tax cost",IFERROR(H13*-0.15,0),0)</f>
        <v/>
      </c>
    </row>
    <row r="14">
      <c r="B14" s="16" t="inlineStr">
        <is>
          <t>Bonds</t>
        </is>
      </c>
      <c r="C14" s="17">
        <f>IFERROR(SUMIF('📊 Holdings Master'!D9:D68,B14,'📊 Holdings Master'!J9:J68),0)</f>
        <v/>
      </c>
      <c r="D14" s="18">
        <f>IFERROR(C14/SUM(C11:C20),0)</f>
        <v/>
      </c>
      <c r="E14" s="19" t="n">
        <v>0.15</v>
      </c>
      <c r="F14" s="20">
        <f>D14-E14</f>
        <v/>
      </c>
      <c r="G14" s="52">
        <f>IF(F14&gt;0.05,"🔴 SELL/STOP BUYING",IF(F14&lt;-0.05,"🔴 BUY",IF(F14&gt;0.02,"⚠ Trim",IF(F14&lt;-0.02,"⚠ Add","✓ Hold"))))</f>
        <v/>
      </c>
      <c r="H14" s="53">
        <f>IFERROR(E14*SUM(C11:C20)-C14,0)</f>
        <v/>
      </c>
      <c r="I14" s="41">
        <f>IF(B14="Bonds","Contribution-rebalance",IF(B14="Cash","Direct deposit",IF(F14&gt;0.05,"Sell taxable + tax cost","Redirect new $")))</f>
        <v/>
      </c>
      <c r="J14" s="54">
        <f>IF(I14="Sell taxable + tax cost",IFERROR(H14*-0.15,0),0)</f>
        <v/>
      </c>
    </row>
    <row r="15">
      <c r="B15" s="16" t="inlineStr">
        <is>
          <t>Cash</t>
        </is>
      </c>
      <c r="C15" s="17">
        <f>IFERROR(SUMIF('📊 Holdings Master'!D9:D68,B15,'📊 Holdings Master'!J9:J68),0)</f>
        <v/>
      </c>
      <c r="D15" s="18">
        <f>IFERROR(C15/SUM(C11:C20),0)</f>
        <v/>
      </c>
      <c r="E15" s="19" t="n">
        <v>0.05</v>
      </c>
      <c r="F15" s="20">
        <f>D15-E15</f>
        <v/>
      </c>
      <c r="G15" s="52">
        <f>IF(F15&gt;0.05,"🔴 SELL/STOP BUYING",IF(F15&lt;-0.05,"🔴 BUY",IF(F15&gt;0.02,"⚠ Trim",IF(F15&lt;-0.02,"⚠ Add","✓ Hold"))))</f>
        <v/>
      </c>
      <c r="H15" s="53">
        <f>IFERROR(E15*SUM(C11:C20)-C15,0)</f>
        <v/>
      </c>
      <c r="I15" s="41">
        <f>IF(B15="Bonds","Contribution-rebalance",IF(B15="Cash","Direct deposit",IF(F15&gt;0.05,"Sell taxable + tax cost","Redirect new $")))</f>
        <v/>
      </c>
      <c r="J15" s="54">
        <f>IF(I15="Sell taxable + tax cost",IFERROR(H15*-0.15,0),0)</f>
        <v/>
      </c>
    </row>
    <row r="16">
      <c r="B16" s="16" t="inlineStr">
        <is>
          <t>Metals</t>
        </is>
      </c>
      <c r="C16" s="17">
        <f>IFERROR(SUMIF('📊 Holdings Master'!D9:D68,B16,'📊 Holdings Master'!J9:J68),0)</f>
        <v/>
      </c>
      <c r="D16" s="18">
        <f>IFERROR(C16/SUM(C11:C20),0)</f>
        <v/>
      </c>
      <c r="E16" s="19" t="n">
        <v>0.05</v>
      </c>
      <c r="F16" s="20">
        <f>D16-E16</f>
        <v/>
      </c>
      <c r="G16" s="52">
        <f>IF(F16&gt;0.05,"🔴 SELL/STOP BUYING",IF(F16&lt;-0.05,"🔴 BUY",IF(F16&gt;0.02,"⚠ Trim",IF(F16&lt;-0.02,"⚠ Add","✓ Hold"))))</f>
        <v/>
      </c>
      <c r="H16" s="53">
        <f>IFERROR(E16*SUM(C11:C20)-C16,0)</f>
        <v/>
      </c>
      <c r="I16" s="41">
        <f>IF(B16="Bonds","Contribution-rebalance",IF(B16="Cash","Direct deposit",IF(F16&gt;0.05,"Sell taxable + tax cost","Redirect new $")))</f>
        <v/>
      </c>
      <c r="J16" s="54">
        <f>IF(I16="Sell taxable + tax cost",IFERROR(H16*-0.15,0),0)</f>
        <v/>
      </c>
    </row>
    <row r="17">
      <c r="B17" s="16" t="inlineStr">
        <is>
          <t>Crypto</t>
        </is>
      </c>
      <c r="C17" s="17">
        <f>IFERROR(SUMIF('📊 Holdings Master'!D9:D68,B17,'📊 Holdings Master'!J9:J68),0)</f>
        <v/>
      </c>
      <c r="D17" s="18">
        <f>IFERROR(C17/SUM(C11:C20),0)</f>
        <v/>
      </c>
      <c r="E17" s="19" t="n">
        <v>0.03</v>
      </c>
      <c r="F17" s="20">
        <f>D17-E17</f>
        <v/>
      </c>
      <c r="G17" s="52">
        <f>IF(F17&gt;0.05,"🔴 SELL/STOP BUYING",IF(F17&lt;-0.05,"🔴 BUY",IF(F17&gt;0.02,"⚠ Trim",IF(F17&lt;-0.02,"⚠ Add","✓ Hold"))))</f>
        <v/>
      </c>
      <c r="H17" s="53">
        <f>IFERROR(E17*SUM(C11:C20)-C17,0)</f>
        <v/>
      </c>
      <c r="I17" s="41">
        <f>IF(B17="Bonds","Contribution-rebalance",IF(B17="Cash","Direct deposit",IF(F17&gt;0.05,"Sell taxable + tax cost","Redirect new $")))</f>
        <v/>
      </c>
      <c r="J17" s="54">
        <f>IF(I17="Sell taxable + tax cost",IFERROR(H17*-0.15,0),0)</f>
        <v/>
      </c>
    </row>
    <row r="18">
      <c r="B18" s="16" t="inlineStr">
        <is>
          <t>REITs</t>
        </is>
      </c>
      <c r="C18" s="17">
        <f>IFERROR(SUMIF('📊 Holdings Master'!D9:D68,B18,'📊 Holdings Master'!J9:J68),0)</f>
        <v/>
      </c>
      <c r="D18" s="18">
        <f>IFERROR(C18/SUM(C11:C20),0)</f>
        <v/>
      </c>
      <c r="E18" s="19" t="n">
        <v>0.07000000000000001</v>
      </c>
      <c r="F18" s="20">
        <f>D18-E18</f>
        <v/>
      </c>
      <c r="G18" s="52">
        <f>IF(F18&gt;0.05,"🔴 SELL/STOP BUYING",IF(F18&lt;-0.05,"🔴 BUY",IF(F18&gt;0.02,"⚠ Trim",IF(F18&lt;-0.02,"⚠ Add","✓ Hold"))))</f>
        <v/>
      </c>
      <c r="H18" s="53">
        <f>IFERROR(E18*SUM(C11:C20)-C18,0)</f>
        <v/>
      </c>
      <c r="I18" s="41">
        <f>IF(B18="Bonds","Contribution-rebalance",IF(B18="Cash","Direct deposit",IF(F18&gt;0.05,"Sell taxable + tax cost","Redirect new $")))</f>
        <v/>
      </c>
      <c r="J18" s="54">
        <f>IF(I18="Sell taxable + tax cost",IFERROR(H18*-0.15,0),0)</f>
        <v/>
      </c>
    </row>
    <row r="19">
      <c r="B19" s="16" t="inlineStr">
        <is>
          <t>CDs</t>
        </is>
      </c>
      <c r="C19" s="17">
        <f>IFERROR(SUMIF('📊 Holdings Master'!D9:D68,B19,'📊 Holdings Master'!J9:J68),0)</f>
        <v/>
      </c>
      <c r="D19" s="18">
        <f>IFERROR(C19/SUM(C11:C20),0)</f>
        <v/>
      </c>
      <c r="E19" s="19" t="n">
        <v>0.03</v>
      </c>
      <c r="F19" s="20">
        <f>D19-E19</f>
        <v/>
      </c>
      <c r="G19" s="52">
        <f>IF(F19&gt;0.05,"🔴 SELL/STOP BUYING",IF(F19&lt;-0.05,"🔴 BUY",IF(F19&gt;0.02,"⚠ Trim",IF(F19&lt;-0.02,"⚠ Add","✓ Hold"))))</f>
        <v/>
      </c>
      <c r="H19" s="53">
        <f>IFERROR(E19*SUM(C11:C20)-C19,0)</f>
        <v/>
      </c>
      <c r="I19" s="41">
        <f>IF(B19="Bonds","Contribution-rebalance",IF(B19="Cash","Direct deposit",IF(F19&gt;0.05,"Sell taxable + tax cost","Redirect new $")))</f>
        <v/>
      </c>
      <c r="J19" s="54">
        <f>IF(I19="Sell taxable + tax cost",IFERROR(H19*-0.15,0),0)</f>
        <v/>
      </c>
    </row>
    <row r="20">
      <c r="B20" s="16" t="inlineStr">
        <is>
          <t>Options/RSUs</t>
        </is>
      </c>
      <c r="C20" s="17">
        <f>IFERROR(SUMIF('📊 Holdings Master'!D9:D68,B20,'📊 Holdings Master'!J9:J68),0)</f>
        <v/>
      </c>
      <c r="D20" s="18">
        <f>IFERROR(C20/SUM(C11:C20),0)</f>
        <v/>
      </c>
      <c r="E20" s="19" t="n">
        <v>0.02</v>
      </c>
      <c r="F20" s="20">
        <f>D20-E20</f>
        <v/>
      </c>
      <c r="G20" s="52">
        <f>IF(F20&gt;0.05,"🔴 SELL/STOP BUYING",IF(F20&lt;-0.05,"🔴 BUY",IF(F20&gt;0.02,"⚠ Trim",IF(F20&lt;-0.02,"⚠ Add","✓ Hold"))))</f>
        <v/>
      </c>
      <c r="H20" s="53">
        <f>IFERROR(E20*SUM(C11:C20)-C20,0)</f>
        <v/>
      </c>
      <c r="I20" s="41">
        <f>IF(B20="Bonds","Contribution-rebalance",IF(B20="Cash","Direct deposit",IF(F20&gt;0.05,"Sell taxable + tax cost","Redirect new $")))</f>
        <v/>
      </c>
      <c r="J20" s="54">
        <f>IF(I20="Sell taxable + tax cost",IFERROR(H20*-0.15,0),0)</f>
        <v/>
      </c>
    </row>
    <row r="23" ht="32" customHeight="1">
      <c r="B23" s="22" t="inlineStr">
        <is>
          <t>⚖️  Contribution-rebalancing &gt; sell-rebalancing in taxable accounts
Selling appreciated taxable holdings realizes capital gains. Redirecting NEW contributions to underweight classes closes drift over 6-12 months with zero tax cost. The AI Allocation Advisor (page 3) names which moves to do this quarter vs which to defer.</t>
        </is>
      </c>
      <c r="C23" s="93" t="n"/>
      <c r="D23" s="93" t="n"/>
      <c r="E23" s="93" t="n"/>
      <c r="F23" s="93" t="n"/>
      <c r="G23" s="93" t="n"/>
      <c r="H23" s="93" t="n"/>
      <c r="I23" s="93" t="n"/>
      <c r="J23" s="93" t="n"/>
      <c r="K23" s="93" t="n"/>
      <c r="L23" s="94" t="n"/>
    </row>
    <row r="24" ht="32" customHeight="1">
      <c r="B24" s="95" t="n"/>
      <c r="C24" s="96" t="n"/>
      <c r="D24" s="96" t="n"/>
      <c r="E24" s="96" t="n"/>
      <c r="F24" s="96" t="n"/>
      <c r="G24" s="96" t="n"/>
      <c r="H24" s="96" t="n"/>
      <c r="I24" s="96" t="n"/>
      <c r="J24" s="96" t="n"/>
      <c r="K24" s="96" t="n"/>
      <c r="L24" s="97" t="n"/>
    </row>
    <row r="28" ht="3" customHeight="1">
      <c r="A28" s="9" t="n"/>
    </row>
    <row r="29" ht="22" customHeight="1">
      <c r="A29" s="23" t="inlineStr">
        <is>
          <t>Lime Premium Studios  ·  Investment Portfolio Tracker Pro v1.0  ·  Privacy-first. No Plaid. No app.</t>
        </is>
      </c>
    </row>
  </sheetData>
  <mergeCells count="17">
    <mergeCell ref="K2:M2"/>
    <mergeCell ref="A2:B2"/>
    <mergeCell ref="D1:I1"/>
    <mergeCell ref="C2:D2"/>
    <mergeCell ref="A1:C1"/>
    <mergeCell ref="G2:H2"/>
    <mergeCell ref="E2:F2"/>
    <mergeCell ref="B6:L6"/>
    <mergeCell ref="I2:J2"/>
    <mergeCell ref="B7:L7"/>
    <mergeCell ref="A4:M4"/>
    <mergeCell ref="A3:M3"/>
    <mergeCell ref="A29:M29"/>
    <mergeCell ref="B23:L24"/>
    <mergeCell ref="B8:L8"/>
    <mergeCell ref="J1:M1"/>
    <mergeCell ref="A28:M28"/>
  </mergeCells>
  <conditionalFormatting sqref="F11:F20">
    <cfRule type="cellIs" priority="1" operator="greaterThan" dxfId="0">
      <formula>0.05</formula>
    </cfRule>
    <cfRule type="cellIs" priority="2" operator="lessThan" dxfId="0">
      <formula>-0.05</formula>
    </cfRule>
    <cfRule type="cellIs" priority="3" operator="between" dxfId="14">
      <formula>0.02</formula>
      <formula>0.05</formula>
    </cfRule>
    <cfRule type="cellIs" priority="4" operator="between" dxfId="14">
      <formula>-0.05</formula>
      <formula>-0.02</formula>
    </cfRule>
  </conditionalFormatting>
  <dataValidations count="1">
    <dataValidation sqref="E11:E20" showDropDown="0" showInputMessage="0" showErrorMessage="1" allowBlank="0" errorTitle="Invalid Target %" error="Enter as decimal (e.g. 0.60 for 60%). Values above 1 will be treated as 6000%+." type="decimal" operator="between">
      <formula1>0</formula1>
      <formula2>1</formula2>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8.xml><?xml version="1.0" encoding="utf-8"?>
<worksheet xmlns="http://schemas.openxmlformats.org/spreadsheetml/2006/main">
  <sheetPr>
    <tabColor rgb="FFC9A14A"/>
    <outlinePr summaryBelow="1" summaryRight="1"/>
    <pageSetUpPr/>
  </sheetPr>
  <dimension ref="A1:M31"/>
  <sheetViews>
    <sheetView workbookViewId="0">
      <pane ySplit="4" topLeftCell="A5" activePane="bottomLeft" state="frozen"/>
      <selection pane="bottomLeft" activeCell="A1" sqref="A1"/>
    </sheetView>
  </sheetViews>
  <sheetFormatPr baseColWidth="8" defaultRowHeight="15" outlineLevelRow="0"/>
  <cols>
    <col width="2" customWidth="1" min="1" max="1"/>
    <col width="18" customWidth="1" min="2" max="2"/>
    <col width="13" customWidth="1" min="3" max="12"/>
    <col width="2" customWidth="1" min="13" max="13"/>
  </cols>
  <sheetData>
    <row r="1" ht="32" customHeight="1">
      <c r="A1" s="1" t="inlineStr">
        <is>
          <t xml:space="preserve">    Lime Premium Studios</t>
        </is>
      </c>
      <c r="D1" s="2" t="inlineStr">
        <is>
          <t>Investment Portfolio Tracker — Pro</t>
        </is>
      </c>
      <c r="J1" s="3" t="inlineStr">
        <is>
          <t>📊 Annual Summary</t>
        </is>
      </c>
    </row>
    <row r="2" ht="54" customHeight="1">
      <c r="A2" s="4">
        <f>"YTD RETURN"&amp;CHAR(10)&amp;(TEXT(IFERROR((SUM('📊 Holdings Master'!J9:J68)/MAX(1,SUM('📊 Holdings Master'!H9:H68)))-1,0),"+0.0%;-0.0%"))</f>
        <v/>
      </c>
      <c r="B2" s="91" t="n"/>
      <c r="C2" s="4">
        <f>"YTD DIVIDENDS"&amp;CHAR(10)&amp;(TEXT(SUM('💰 Dividend Income Calendar'!N9:N28),"$#,##0"))</f>
        <v/>
      </c>
      <c r="D2" s="91" t="n"/>
      <c r="E2" s="4">
        <f>"CONTRIBUTIONS"&amp;CHAR(10)&amp;(TEXT(SUM(D10:D21),"$#,##0"))</f>
        <v/>
      </c>
      <c r="F2" s="91" t="n"/>
      <c r="G2" s="4">
        <f>"REALIZED $"&amp;CHAR(10)&amp;(TEXT(SUM(F10:F21),"$#,##0"))</f>
        <v/>
      </c>
      <c r="H2" s="91" t="n"/>
      <c r="I2" s="4">
        <f>"BEST POS"&amp;CHAR(10)&amp;(IFERROR(INDEX('📊 Holdings Master'!B9:B68,MATCH(MAX('📊 Holdings Master'!L9:L68),'📊 Holdings Master'!L9:L68,0)),"—"))</f>
        <v/>
      </c>
      <c r="J2" s="91" t="n"/>
      <c r="K2" s="4">
        <f>"WORST POS"&amp;CHAR(10)&amp;(IFERROR(INDEX('📊 Holdings Master'!B9:B68,MATCH(MIN('📊 Holdings Master'!L9:L68),'📊 Holdings Master'!L9:L68,0)),"—"))</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Year-end snapshot — total return / dividends / realized gains-losses / contributions. Best + worst position callouts.</t>
        </is>
      </c>
    </row>
    <row r="6" ht="26" customHeight="1">
      <c r="B6" s="7" t="inlineStr">
        <is>
          <t>Monthly contributions + realized P&amp;L log</t>
        </is>
      </c>
    </row>
    <row r="7" ht="18" customHeight="1">
      <c r="B7" s="8" t="inlineStr">
        <is>
          <t>Per-month log: contributions (new $), withdrawals, realized gain/loss from sells. Feeds the Quarterly Review AI prompt.</t>
        </is>
      </c>
    </row>
    <row r="8" ht="3" customHeight="1">
      <c r="B8" s="9" t="n"/>
    </row>
    <row r="10" ht="24" customHeight="1">
      <c r="B10" s="10" t="inlineStr">
        <is>
          <t>Month</t>
        </is>
      </c>
      <c r="C10" s="10" t="inlineStr">
        <is>
          <t>Portfolio $</t>
        </is>
      </c>
      <c r="D10" s="10" t="inlineStr">
        <is>
          <t>Contributions</t>
        </is>
      </c>
      <c r="E10" s="10" t="inlineStr">
        <is>
          <t>Withdrawals</t>
        </is>
      </c>
      <c r="F10" s="10" t="inlineStr">
        <is>
          <t>Realized G/L</t>
        </is>
      </c>
      <c r="G10" s="10" t="inlineStr">
        <is>
          <t>Dividends</t>
        </is>
      </c>
      <c r="H10" s="10" t="inlineStr">
        <is>
          <t>Fees</t>
        </is>
      </c>
      <c r="I10" s="10" t="inlineStr">
        <is>
          <t>MoM Δ</t>
        </is>
      </c>
      <c r="J10" s="11" t="inlineStr">
        <is>
          <t>YoY Δ</t>
        </is>
      </c>
    </row>
    <row r="11">
      <c r="B11" s="55" t="inlineStr">
        <is>
          <t>Jan</t>
        </is>
      </c>
      <c r="C11" s="17" t="n">
        <v>258000</v>
      </c>
      <c r="D11" s="17" t="n">
        <v>1800</v>
      </c>
      <c r="E11" s="56" t="n">
        <v>0</v>
      </c>
      <c r="F11" s="53" t="n">
        <v>0</v>
      </c>
      <c r="G11" s="17">
        <f>IFERROR(INDEX('💰 Dividend Income Calendar'!C32:C32,1),0)</f>
        <v/>
      </c>
      <c r="H11" s="56" t="n">
        <v>0</v>
      </c>
      <c r="I11" s="32">
        <f>0</f>
        <v/>
      </c>
      <c r="J11" s="20">
        <f>0</f>
        <v/>
      </c>
    </row>
    <row r="12">
      <c r="B12" s="55" t="inlineStr">
        <is>
          <t>Feb</t>
        </is>
      </c>
      <c r="C12" s="17" t="n">
        <v>262500</v>
      </c>
      <c r="D12" s="17" t="n">
        <v>1800</v>
      </c>
      <c r="E12" s="56" t="n">
        <v>0</v>
      </c>
      <c r="F12" s="53" t="n">
        <v>0</v>
      </c>
      <c r="G12" s="17">
        <f>IFERROR(INDEX('💰 Dividend Income Calendar'!C32:C32,1),0)</f>
        <v/>
      </c>
      <c r="H12" s="56" t="n">
        <v>0</v>
      </c>
      <c r="I12" s="32">
        <f>IFERROR((C12/C11)-1,0)</f>
        <v/>
      </c>
      <c r="J12" s="20">
        <f>IFERROR((C12/C11)-1,0)</f>
        <v/>
      </c>
    </row>
    <row r="13">
      <c r="B13" s="55" t="inlineStr">
        <is>
          <t>Mar</t>
        </is>
      </c>
      <c r="C13" s="17" t="n">
        <v>268000</v>
      </c>
      <c r="D13" s="17" t="n">
        <v>1800</v>
      </c>
      <c r="E13" s="56" t="n">
        <v>0</v>
      </c>
      <c r="F13" s="53" t="n">
        <v>0</v>
      </c>
      <c r="G13" s="17">
        <f>IFERROR(INDEX('💰 Dividend Income Calendar'!C32:C32,1),0)</f>
        <v/>
      </c>
      <c r="H13" s="56" t="n">
        <v>0</v>
      </c>
      <c r="I13" s="32">
        <f>IFERROR((C13/C12)-1,0)</f>
        <v/>
      </c>
      <c r="J13" s="20">
        <f>IFERROR((C13/C11)-1,0)</f>
        <v/>
      </c>
    </row>
    <row r="14">
      <c r="B14" s="55" t="inlineStr">
        <is>
          <t>Apr</t>
        </is>
      </c>
      <c r="C14" s="17" t="n">
        <v>264500</v>
      </c>
      <c r="D14" s="17" t="n">
        <v>1800</v>
      </c>
      <c r="E14" s="56" t="n">
        <v>0</v>
      </c>
      <c r="F14" s="53" t="n">
        <v>0</v>
      </c>
      <c r="G14" s="17">
        <f>IFERROR(INDEX('💰 Dividend Income Calendar'!C32:C32,1),0)</f>
        <v/>
      </c>
      <c r="H14" s="56" t="n">
        <v>0</v>
      </c>
      <c r="I14" s="32">
        <f>IFERROR((C14/C13)-1,0)</f>
        <v/>
      </c>
      <c r="J14" s="20">
        <f>IFERROR((C14/C11)-1,0)</f>
        <v/>
      </c>
    </row>
    <row r="15">
      <c r="B15" s="55" t="inlineStr">
        <is>
          <t>May</t>
        </is>
      </c>
      <c r="C15" s="17" t="n">
        <v>270500</v>
      </c>
      <c r="D15" s="17" t="n">
        <v>1800</v>
      </c>
      <c r="E15" s="56" t="n">
        <v>0</v>
      </c>
      <c r="F15" s="53" t="n">
        <v>0</v>
      </c>
      <c r="G15" s="17">
        <f>IFERROR(INDEX('💰 Dividend Income Calendar'!C32:C32,1),0)</f>
        <v/>
      </c>
      <c r="H15" s="56" t="n">
        <v>0</v>
      </c>
      <c r="I15" s="32">
        <f>IFERROR((C15/C14)-1,0)</f>
        <v/>
      </c>
      <c r="J15" s="20">
        <f>IFERROR((C15/C11)-1,0)</f>
        <v/>
      </c>
    </row>
    <row r="16">
      <c r="B16" s="55" t="inlineStr">
        <is>
          <t>Jun</t>
        </is>
      </c>
      <c r="C16" s="17" t="n">
        <v>276000</v>
      </c>
      <c r="D16" s="17" t="n">
        <v>1800</v>
      </c>
      <c r="E16" s="56" t="n">
        <v>0</v>
      </c>
      <c r="F16" s="53" t="n">
        <v>0</v>
      </c>
      <c r="G16" s="17">
        <f>IFERROR(INDEX('💰 Dividend Income Calendar'!C32:C32,1),0)</f>
        <v/>
      </c>
      <c r="H16" s="56" t="n">
        <v>0</v>
      </c>
      <c r="I16" s="32">
        <f>IFERROR((C16/C15)-1,0)</f>
        <v/>
      </c>
      <c r="J16" s="20">
        <f>IFERROR((C16/C11)-1,0)</f>
        <v/>
      </c>
    </row>
    <row r="17">
      <c r="B17" s="55" t="inlineStr">
        <is>
          <t>Jul</t>
        </is>
      </c>
      <c r="C17" s="17" t="n">
        <v>282500</v>
      </c>
      <c r="D17" s="17" t="n">
        <v>1800</v>
      </c>
      <c r="E17" s="56" t="n">
        <v>0</v>
      </c>
      <c r="F17" s="53" t="n">
        <v>0</v>
      </c>
      <c r="G17" s="17">
        <f>IFERROR(INDEX('💰 Dividend Income Calendar'!C32:C32,1),0)</f>
        <v/>
      </c>
      <c r="H17" s="56" t="n">
        <v>0</v>
      </c>
      <c r="I17" s="32">
        <f>IFERROR((C17/C16)-1,0)</f>
        <v/>
      </c>
      <c r="J17" s="20">
        <f>IFERROR((C17/C11)-1,0)</f>
        <v/>
      </c>
    </row>
    <row r="18">
      <c r="B18" s="55" t="inlineStr">
        <is>
          <t>Aug</t>
        </is>
      </c>
      <c r="C18" s="17" t="n">
        <v>286500</v>
      </c>
      <c r="D18" s="17" t="n">
        <v>1800</v>
      </c>
      <c r="E18" s="56" t="n">
        <v>0</v>
      </c>
      <c r="F18" s="53" t="n">
        <v>0</v>
      </c>
      <c r="G18" s="17">
        <f>IFERROR(INDEX('💰 Dividend Income Calendar'!C32:C32,1),0)</f>
        <v/>
      </c>
      <c r="H18" s="56" t="n">
        <v>0</v>
      </c>
      <c r="I18" s="32">
        <f>IFERROR((C18/C17)-1,0)</f>
        <v/>
      </c>
      <c r="J18" s="20">
        <f>IFERROR((C18/C11)-1,0)</f>
        <v/>
      </c>
    </row>
    <row r="19">
      <c r="B19" s="55" t="inlineStr">
        <is>
          <t>Sep</t>
        </is>
      </c>
      <c r="C19" s="17" t="n">
        <v>280500</v>
      </c>
      <c r="D19" s="17" t="n">
        <v>1800</v>
      </c>
      <c r="E19" s="56" t="n">
        <v>0</v>
      </c>
      <c r="F19" s="53" t="n">
        <v>0</v>
      </c>
      <c r="G19" s="17">
        <f>IFERROR(INDEX('💰 Dividend Income Calendar'!C32:C32,1),0)</f>
        <v/>
      </c>
      <c r="H19" s="56" t="n">
        <v>0</v>
      </c>
      <c r="I19" s="32">
        <f>IFERROR((C19/C18)-1,0)</f>
        <v/>
      </c>
      <c r="J19" s="20">
        <f>IFERROR((C19/C11)-1,0)</f>
        <v/>
      </c>
    </row>
    <row r="20">
      <c r="B20" s="55" t="inlineStr">
        <is>
          <t>Oct</t>
        </is>
      </c>
      <c r="C20" s="17" t="n">
        <v>285000</v>
      </c>
      <c r="D20" s="17" t="n">
        <v>1800</v>
      </c>
      <c r="E20" s="56" t="n">
        <v>0</v>
      </c>
      <c r="F20" s="53" t="n">
        <v>0</v>
      </c>
      <c r="G20" s="17">
        <f>IFERROR(INDEX('💰 Dividend Income Calendar'!C32:C32,1),0)</f>
        <v/>
      </c>
      <c r="H20" s="56" t="n">
        <v>0</v>
      </c>
      <c r="I20" s="32">
        <f>IFERROR((C20/C19)-1,0)</f>
        <v/>
      </c>
      <c r="J20" s="20">
        <f>IFERROR((C20/C11)-1,0)</f>
        <v/>
      </c>
    </row>
    <row r="21">
      <c r="B21" s="55" t="inlineStr">
        <is>
          <t>Nov</t>
        </is>
      </c>
      <c r="C21" s="17" t="n">
        <v>289000</v>
      </c>
      <c r="D21" s="17" t="n">
        <v>1800</v>
      </c>
      <c r="E21" s="56" t="n">
        <v>0</v>
      </c>
      <c r="F21" s="53" t="n">
        <v>0</v>
      </c>
      <c r="G21" s="17">
        <f>IFERROR(INDEX('💰 Dividend Income Calendar'!C32:C32,1),0)</f>
        <v/>
      </c>
      <c r="H21" s="56" t="n">
        <v>0</v>
      </c>
      <c r="I21" s="32">
        <f>IFERROR((C21/C20)-1,0)</f>
        <v/>
      </c>
      <c r="J21" s="20">
        <f>IFERROR((C21/C11)-1,0)</f>
        <v/>
      </c>
    </row>
    <row r="22">
      <c r="B22" s="55" t="inlineStr">
        <is>
          <t>Dec</t>
        </is>
      </c>
      <c r="C22" s="17" t="n">
        <v>290500</v>
      </c>
      <c r="D22" s="17" t="n">
        <v>1800</v>
      </c>
      <c r="E22" s="56" t="n">
        <v>0</v>
      </c>
      <c r="F22" s="53" t="n">
        <v>0</v>
      </c>
      <c r="G22" s="17">
        <f>IFERROR(INDEX('💰 Dividend Income Calendar'!C32:C32,1),0)</f>
        <v/>
      </c>
      <c r="H22" s="56" t="n">
        <v>0</v>
      </c>
      <c r="I22" s="32">
        <f>IFERROR((C22/C21)-1,0)</f>
        <v/>
      </c>
      <c r="J22" s="20">
        <f>IFERROR((C22/C11)-1,0)</f>
        <v/>
      </c>
    </row>
    <row r="25" ht="32" customHeight="1">
      <c r="B25" s="22" t="inlineStr">
        <is>
          <t>📅  Year-end review uses this tab
The AI Quarterly Portfolio Review prompt (page 10) reads this tab. Hand-fill contributions monthly; the rest auto-populates from Holdings Master + Dividend Calendar. Realized G/L is manual — log on the month you executed the trade, not when you booked the loss.</t>
        </is>
      </c>
      <c r="C25" s="93" t="n"/>
      <c r="D25" s="93" t="n"/>
      <c r="E25" s="93" t="n"/>
      <c r="F25" s="93" t="n"/>
      <c r="G25" s="93" t="n"/>
      <c r="H25" s="93" t="n"/>
      <c r="I25" s="93" t="n"/>
      <c r="J25" s="93" t="n"/>
      <c r="K25" s="93" t="n"/>
      <c r="L25" s="94" t="n"/>
    </row>
    <row r="26" ht="32" customHeight="1">
      <c r="B26" s="95" t="n"/>
      <c r="C26" s="96" t="n"/>
      <c r="D26" s="96" t="n"/>
      <c r="E26" s="96" t="n"/>
      <c r="F26" s="96" t="n"/>
      <c r="G26" s="96" t="n"/>
      <c r="H26" s="96" t="n"/>
      <c r="I26" s="96" t="n"/>
      <c r="J26" s="96" t="n"/>
      <c r="K26" s="96" t="n"/>
      <c r="L26" s="97" t="n"/>
    </row>
    <row r="30" ht="3" customHeight="1">
      <c r="A30" s="9" t="n"/>
    </row>
    <row r="31" ht="22" customHeight="1">
      <c r="A31" s="23" t="inlineStr">
        <is>
          <t>Lime Premium Studios  ·  Investment Portfolio Tracker Pro v1.0  ·  Privacy-first. No Plaid. No app.</t>
        </is>
      </c>
    </row>
  </sheetData>
  <mergeCells count="17">
    <mergeCell ref="K2:M2"/>
    <mergeCell ref="A2:B2"/>
    <mergeCell ref="D1:I1"/>
    <mergeCell ref="C2:D2"/>
    <mergeCell ref="A1:C1"/>
    <mergeCell ref="G2:H2"/>
    <mergeCell ref="E2:F2"/>
    <mergeCell ref="B6:L6"/>
    <mergeCell ref="I2:J2"/>
    <mergeCell ref="B7:L7"/>
    <mergeCell ref="A31:M31"/>
    <mergeCell ref="A4:M4"/>
    <mergeCell ref="B25:L26"/>
    <mergeCell ref="A3:M3"/>
    <mergeCell ref="A30:M30"/>
    <mergeCell ref="J1:M1"/>
    <mergeCell ref="B8:L8"/>
  </mergeCells>
  <conditionalFormatting sqref="I11:J22">
    <cfRule type="cellIs" priority="1" operator="greaterThan" dxfId="6">
      <formula>0</formula>
    </cfRule>
    <cfRule type="cellIs" priority="2" operator="lessThan" dxfId="7">
      <formula>0</formula>
    </cfRule>
  </conditionalFormatting>
  <pageMargins left="0.7" right="0.7" top="0.75" bottom="0.75" header="0.3" footer="0.3"/>
  <pageSetup orientation="portrait" scale="100" fitToHeight="1" fitToWidth="1" horizontalDpi="4294967295" verticalDpi="4294967295"/>
</worksheet>
</file>

<file path=xl/worksheets/sheet9.xml><?xml version="1.0" encoding="utf-8"?>
<worksheet xmlns="http://schemas.openxmlformats.org/spreadsheetml/2006/main">
  <sheetPr>
    <tabColor rgb="FFC9A14A"/>
    <outlinePr summaryBelow="1" summaryRight="1"/>
    <pageSetUpPr/>
  </sheetPr>
  <dimension ref="A1:M33"/>
  <sheetViews>
    <sheetView workbookViewId="0">
      <pane ySplit="4" topLeftCell="A5" activePane="bottomLeft" state="frozen"/>
      <selection pane="bottomLeft" activeCell="A1" sqref="A1"/>
    </sheetView>
  </sheetViews>
  <sheetFormatPr baseColWidth="8" defaultRowHeight="15" outlineLevelRow="0"/>
  <cols>
    <col width="2" customWidth="1" min="1" max="1"/>
    <col width="14" customWidth="1" min="2" max="2"/>
    <col width="10" customWidth="1" min="3" max="3"/>
    <col width="14" customWidth="1" min="4" max="4"/>
    <col width="11" customWidth="1" min="5" max="10"/>
    <col width="14" customWidth="1" min="11" max="11"/>
    <col width="10" customWidth="1" min="12" max="12"/>
    <col width="2" customWidth="1" min="13" max="13"/>
  </cols>
  <sheetData>
    <row r="1" ht="32" customHeight="1">
      <c r="A1" s="1" t="inlineStr">
        <is>
          <t xml:space="preserve">    Lime Premium Studios</t>
        </is>
      </c>
      <c r="D1" s="2" t="inlineStr">
        <is>
          <t>Investment Portfolio Tracker — Pro</t>
        </is>
      </c>
      <c r="J1" s="3" t="inlineStr">
        <is>
          <t>💵 Bonds &amp; Fixed Income</t>
        </is>
      </c>
    </row>
    <row r="2" ht="54" customHeight="1">
      <c r="A2" s="4">
        <f>"BONDS"&amp;CHAR(10)&amp;(COUNTA(B9:B22))</f>
        <v/>
      </c>
      <c r="B2" s="91" t="n"/>
      <c r="C2" s="4">
        <f>"PRINCIPAL"&amp;CHAR(10)&amp;(TEXT(SUM(E9:E22),"$#,##0"))</f>
        <v/>
      </c>
      <c r="D2" s="91" t="n"/>
      <c r="E2" s="4">
        <f>"AVG YTM"&amp;CHAR(10)&amp;(TEXT(IFERROR(AVERAGE(I9:I22),0),"0.00%"))</f>
        <v/>
      </c>
      <c r="F2" s="91" t="n"/>
      <c r="G2" s="4">
        <f>"NEAREST MAT"&amp;CHAR(10)&amp;(IFERROR(TEXT(MIN(G9:G22),"mmm d, yyyy"),"—"))</f>
        <v/>
      </c>
      <c r="H2" s="91" t="n"/>
      <c r="I2" s="4">
        <f>"COUPONS/YR"&amp;CHAR(10)&amp;(TEXT(SUMPRODUCT(E9:E22,H9:H22),"$#,##0"))</f>
        <v/>
      </c>
      <c r="J2" s="91" t="n"/>
      <c r="K2" s="4">
        <f>"MAT NEXT 12mo"&amp;CHAR(10)&amp;(COUNTIFS(G9:G22,"&lt;="&amp;EDATE(TODAY(),12),G9:G22,"&gt;="&amp;TODAY()))</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Government / corporate / municipal bonds + CDs + Treasury bills. Maturity calendar + coupon schedule + YTM.</t>
        </is>
      </c>
    </row>
    <row r="6" ht="26" customHeight="1">
      <c r="B6" s="7" t="inlineStr">
        <is>
          <t>Bond ladder + fixed-income holdings</t>
        </is>
      </c>
    </row>
    <row r="7" ht="18" customHeight="1">
      <c r="B7" s="8" t="inlineStr">
        <is>
          <t>Per-bond: issuer + type + principal + coupon + maturity + YTM. Maturity calendar visualizes when each instrument matures.</t>
        </is>
      </c>
    </row>
    <row r="8" ht="3" customHeight="1">
      <c r="B8" s="9" t="n"/>
    </row>
    <row r="10" ht="24" customHeight="1">
      <c r="B10" s="10" t="inlineStr">
        <is>
          <t>Bond/CD</t>
        </is>
      </c>
      <c r="C10" s="10" t="inlineStr">
        <is>
          <t>Type</t>
        </is>
      </c>
      <c r="D10" s="10" t="inlineStr">
        <is>
          <t>Issuer</t>
        </is>
      </c>
      <c r="E10" s="10" t="inlineStr">
        <is>
          <t>Principal</t>
        </is>
      </c>
      <c r="F10" s="10" t="inlineStr">
        <is>
          <t>Coupon Rate</t>
        </is>
      </c>
      <c r="G10" s="10" t="inlineStr">
        <is>
          <t>Maturity</t>
        </is>
      </c>
      <c r="H10" s="10" t="inlineStr">
        <is>
          <t>Coupon $/yr</t>
        </is>
      </c>
      <c r="I10" s="10" t="inlineStr">
        <is>
          <t>Curr Price</t>
        </is>
      </c>
      <c r="J10" s="10" t="inlineStr">
        <is>
          <t>YTM</t>
        </is>
      </c>
      <c r="K10" s="10" t="inlineStr">
        <is>
          <t>Account</t>
        </is>
      </c>
      <c r="L10" s="11" t="inlineStr">
        <is>
          <t>Notes</t>
        </is>
      </c>
    </row>
    <row r="11">
      <c r="B11" s="12" t="inlineStr">
        <is>
          <t>BND</t>
        </is>
      </c>
      <c r="C11" s="42" t="inlineStr">
        <is>
          <t>ETF</t>
        </is>
      </c>
      <c r="D11" s="25" t="inlineStr">
        <is>
          <t>Vanguard Bond Index</t>
        </is>
      </c>
      <c r="E11" s="17" t="n">
        <v>21404</v>
      </c>
      <c r="F11" s="57" t="n">
        <v>0.041</v>
      </c>
      <c r="G11" s="58" t="n">
        <v>47484</v>
      </c>
      <c r="H11" s="17">
        <f>IFERROR(E11*F11,"")</f>
        <v/>
      </c>
      <c r="I11" s="27" t="n">
        <v>75.09999999999999</v>
      </c>
      <c r="J11" s="59" t="n">
        <v>0.045</v>
      </c>
      <c r="K11" s="41" t="inlineStr">
        <is>
          <t>401k</t>
        </is>
      </c>
      <c r="L11" s="60" t="n"/>
    </row>
    <row r="12">
      <c r="B12" s="12" t="inlineStr">
        <is>
          <t>CD-1Y</t>
        </is>
      </c>
      <c r="C12" s="42" t="inlineStr">
        <is>
          <t>CD</t>
        </is>
      </c>
      <c r="D12" s="25" t="inlineStr">
        <is>
          <t>Marcus by Goldman</t>
        </is>
      </c>
      <c r="E12" s="17" t="n">
        <v>10000</v>
      </c>
      <c r="F12" s="57" t="n">
        <v>0.05</v>
      </c>
      <c r="G12" s="58" t="n">
        <v>45672</v>
      </c>
      <c r="H12" s="17">
        <f>IFERROR(E12*F12,"")</f>
        <v/>
      </c>
      <c r="I12" s="27" t="n">
        <v>100</v>
      </c>
      <c r="J12" s="59" t="n">
        <v>0.05</v>
      </c>
      <c r="K12" s="41" t="inlineStr">
        <is>
          <t>Brokerage Taxable</t>
        </is>
      </c>
      <c r="L12" s="60" t="n"/>
    </row>
    <row r="13">
      <c r="B13" s="12" t="inlineStr">
        <is>
          <t>T-Bill</t>
        </is>
      </c>
      <c r="C13" s="42" t="inlineStr">
        <is>
          <t>Treasury</t>
        </is>
      </c>
      <c r="D13" s="25" t="inlineStr">
        <is>
          <t>US Treasury 13-wk</t>
        </is>
      </c>
      <c r="E13" s="17" t="n">
        <v>5000</v>
      </c>
      <c r="F13" s="57" t="n">
        <v>0.0525</v>
      </c>
      <c r="G13" s="58" t="n">
        <v>45717</v>
      </c>
      <c r="H13" s="17">
        <f>IFERROR(E13*F13,"")</f>
        <v/>
      </c>
      <c r="I13" s="27" t="n">
        <v>100</v>
      </c>
      <c r="J13" s="59" t="n">
        <v>0.0525</v>
      </c>
      <c r="K13" s="41" t="inlineStr">
        <is>
          <t>Brokerage Taxable</t>
        </is>
      </c>
      <c r="L13" s="60" t="n"/>
    </row>
    <row r="14">
      <c r="B14" s="12" t="n"/>
      <c r="C14" s="42" t="n"/>
      <c r="D14" s="25" t="n"/>
      <c r="E14" s="17" t="n"/>
      <c r="F14" s="57" t="n"/>
      <c r="G14" s="58" t="n"/>
      <c r="H14" s="17">
        <f>IFERROR(E14*F14,"")</f>
        <v/>
      </c>
      <c r="I14" s="27" t="n"/>
      <c r="J14" s="59" t="n"/>
      <c r="K14" s="41" t="n"/>
      <c r="L14" s="60" t="n"/>
    </row>
    <row r="15">
      <c r="B15" s="12" t="n"/>
      <c r="C15" s="42" t="n"/>
      <c r="D15" s="25" t="n"/>
      <c r="E15" s="17" t="n"/>
      <c r="F15" s="57" t="n"/>
      <c r="G15" s="58" t="n"/>
      <c r="H15" s="17">
        <f>IFERROR(E15*F15,"")</f>
        <v/>
      </c>
      <c r="I15" s="27" t="n"/>
      <c r="J15" s="59" t="n"/>
      <c r="K15" s="41" t="n"/>
      <c r="L15" s="60" t="n"/>
    </row>
    <row r="16">
      <c r="B16" s="12" t="n"/>
      <c r="C16" s="42" t="n"/>
      <c r="D16" s="25" t="n"/>
      <c r="E16" s="17" t="n"/>
      <c r="F16" s="57" t="n"/>
      <c r="G16" s="58" t="n"/>
      <c r="H16" s="17">
        <f>IFERROR(E16*F16,"")</f>
        <v/>
      </c>
      <c r="I16" s="27" t="n"/>
      <c r="J16" s="59" t="n"/>
      <c r="K16" s="41" t="n"/>
      <c r="L16" s="60" t="n"/>
    </row>
    <row r="17">
      <c r="B17" s="12" t="n"/>
      <c r="C17" s="42" t="n"/>
      <c r="D17" s="25" t="n"/>
      <c r="E17" s="17" t="n"/>
      <c r="F17" s="57" t="n"/>
      <c r="G17" s="58" t="n"/>
      <c r="H17" s="17">
        <f>IFERROR(E17*F17,"")</f>
        <v/>
      </c>
      <c r="I17" s="27" t="n"/>
      <c r="J17" s="59" t="n"/>
      <c r="K17" s="41" t="n"/>
      <c r="L17" s="60" t="n"/>
    </row>
    <row r="18">
      <c r="B18" s="12" t="n"/>
      <c r="C18" s="42" t="n"/>
      <c r="D18" s="25" t="n"/>
      <c r="E18" s="17" t="n"/>
      <c r="F18" s="57" t="n"/>
      <c r="G18" s="58" t="n"/>
      <c r="H18" s="17">
        <f>IFERROR(E18*F18,"")</f>
        <v/>
      </c>
      <c r="I18" s="27" t="n"/>
      <c r="J18" s="59" t="n"/>
      <c r="K18" s="41" t="n"/>
      <c r="L18" s="60" t="n"/>
    </row>
    <row r="19">
      <c r="B19" s="12" t="n"/>
      <c r="C19" s="42" t="n"/>
      <c r="D19" s="25" t="n"/>
      <c r="E19" s="17" t="n"/>
      <c r="F19" s="57" t="n"/>
      <c r="G19" s="58" t="n"/>
      <c r="H19" s="17">
        <f>IFERROR(E19*F19,"")</f>
        <v/>
      </c>
      <c r="I19" s="27" t="n"/>
      <c r="J19" s="59" t="n"/>
      <c r="K19" s="41" t="n"/>
      <c r="L19" s="60" t="n"/>
    </row>
    <row r="20">
      <c r="B20" s="12" t="n"/>
      <c r="C20" s="42" t="n"/>
      <c r="D20" s="25" t="n"/>
      <c r="E20" s="17" t="n"/>
      <c r="F20" s="57" t="n"/>
      <c r="G20" s="58" t="n"/>
      <c r="H20" s="17">
        <f>IFERROR(E20*F20,"")</f>
        <v/>
      </c>
      <c r="I20" s="27" t="n"/>
      <c r="J20" s="59" t="n"/>
      <c r="K20" s="41" t="n"/>
      <c r="L20" s="60" t="n"/>
    </row>
    <row r="21">
      <c r="B21" s="12" t="n"/>
      <c r="C21" s="42" t="n"/>
      <c r="D21" s="25" t="n"/>
      <c r="E21" s="17" t="n"/>
      <c r="F21" s="57" t="n"/>
      <c r="G21" s="58" t="n"/>
      <c r="H21" s="17">
        <f>IFERROR(E21*F21,"")</f>
        <v/>
      </c>
      <c r="I21" s="27" t="n"/>
      <c r="J21" s="59" t="n"/>
      <c r="K21" s="41" t="n"/>
      <c r="L21" s="60" t="n"/>
    </row>
    <row r="22">
      <c r="B22" s="12" t="n"/>
      <c r="C22" s="42" t="n"/>
      <c r="D22" s="25" t="n"/>
      <c r="E22" s="17" t="n"/>
      <c r="F22" s="57" t="n"/>
      <c r="G22" s="58" t="n"/>
      <c r="H22" s="17">
        <f>IFERROR(E22*F22,"")</f>
        <v/>
      </c>
      <c r="I22" s="27" t="n"/>
      <c r="J22" s="59" t="n"/>
      <c r="K22" s="41" t="n"/>
      <c r="L22" s="60" t="n"/>
    </row>
    <row r="23">
      <c r="B23" s="12" t="n"/>
      <c r="C23" s="42" t="n"/>
      <c r="D23" s="25" t="n"/>
      <c r="E23" s="17" t="n"/>
      <c r="F23" s="57" t="n"/>
      <c r="G23" s="58" t="n"/>
      <c r="H23" s="17">
        <f>IFERROR(E23*F23,"")</f>
        <v/>
      </c>
      <c r="I23" s="27" t="n"/>
      <c r="J23" s="59" t="n"/>
      <c r="K23" s="41" t="n"/>
      <c r="L23" s="60" t="n"/>
    </row>
    <row r="24">
      <c r="B24" s="12" t="n"/>
      <c r="C24" s="42" t="n"/>
      <c r="D24" s="25" t="n"/>
      <c r="E24" s="17" t="n"/>
      <c r="F24" s="57" t="n"/>
      <c r="G24" s="58" t="n"/>
      <c r="H24" s="17">
        <f>IFERROR(E24*F24,"")</f>
        <v/>
      </c>
      <c r="I24" s="27" t="n"/>
      <c r="J24" s="59" t="n"/>
      <c r="K24" s="41" t="n"/>
      <c r="L24" s="60" t="n"/>
    </row>
    <row r="27" ht="30" customHeight="1">
      <c r="B27" s="22" t="inlineStr">
        <is>
          <t>📅  Maturity calendar — when does cash come back?
Bonds + CDs are predictable cash-return events. Logging maturity dates lets you plan reinvestment + match cash availability to upcoming expenses. T-bills + short CDs are a yield-plus-liquidity ladder during high-rate cycles.</t>
        </is>
      </c>
      <c r="C27" s="93" t="n"/>
      <c r="D27" s="93" t="n"/>
      <c r="E27" s="93" t="n"/>
      <c r="F27" s="93" t="n"/>
      <c r="G27" s="93" t="n"/>
      <c r="H27" s="93" t="n"/>
      <c r="I27" s="93" t="n"/>
      <c r="J27" s="93" t="n"/>
      <c r="K27" s="93" t="n"/>
      <c r="L27" s="94" t="n"/>
    </row>
    <row r="28" ht="30" customHeight="1">
      <c r="B28" s="95" t="n"/>
      <c r="C28" s="96" t="n"/>
      <c r="D28" s="96" t="n"/>
      <c r="E28" s="96" t="n"/>
      <c r="F28" s="96" t="n"/>
      <c r="G28" s="96" t="n"/>
      <c r="H28" s="96" t="n"/>
      <c r="I28" s="96" t="n"/>
      <c r="J28" s="96" t="n"/>
      <c r="K28" s="96" t="n"/>
      <c r="L28" s="97" t="n"/>
    </row>
    <row r="32" ht="3" customHeight="1">
      <c r="A32" s="9" t="n"/>
    </row>
    <row r="33" ht="22" customHeight="1">
      <c r="A33" s="23" t="inlineStr">
        <is>
          <t>Lime Premium Studios  ·  Investment Portfolio Tracker Pro v1.0  ·  Privacy-first. No Plaid. No app.</t>
        </is>
      </c>
    </row>
  </sheetData>
  <mergeCells count="17">
    <mergeCell ref="B27:L28"/>
    <mergeCell ref="K2:M2"/>
    <mergeCell ref="A2:B2"/>
    <mergeCell ref="D1:I1"/>
    <mergeCell ref="C2:D2"/>
    <mergeCell ref="A1:C1"/>
    <mergeCell ref="G2:H2"/>
    <mergeCell ref="E2:F2"/>
    <mergeCell ref="B6:L6"/>
    <mergeCell ref="I2:J2"/>
    <mergeCell ref="B7:L7"/>
    <mergeCell ref="A32:M32"/>
    <mergeCell ref="A4:M4"/>
    <mergeCell ref="A3:M3"/>
    <mergeCell ref="A33:M33"/>
    <mergeCell ref="J1:M1"/>
    <mergeCell ref="B8:L8"/>
  </mergeCells>
  <conditionalFormatting sqref="G11:G24">
    <cfRule type="expression" priority="1" dxfId="0">
      <formula>AND(G11&lt;&gt;"",G11&lt;=TODAY()+30,G11&gt;=TODAY())</formula>
    </cfRule>
  </conditionalFormatting>
  <dataValidations count="1">
    <dataValidation sqref="C11:C24" showDropDown="0" showInputMessage="0" showErrorMessage="0" allowBlank="1" type="list">
      <formula1>"Treasury,Corp,Muni,CD,ETF,Mutual"</formula1>
    </dataValidation>
  </dataValidations>
  <pageMargins left="0.7" right="0.7" top="0.75" bottom="0.75" header="0.3" footer="0.3"/>
  <pageSetup orientation="portrait" scale="100" fitToHeight="1" fitToWidth="1" horizontalDpi="4294967295" verticalDpi="4294967295"/>
</worksheet>
</file>

<file path=xl/worksheets/sheet10.xml><?xml version="1.0" encoding="utf-8"?>
<worksheet xmlns="http://schemas.openxmlformats.org/spreadsheetml/2006/main">
  <sheetPr>
    <tabColor rgb="FFC9A14A"/>
    <outlinePr summaryBelow="1" summaryRight="1"/>
    <pageSetUpPr/>
  </sheetPr>
  <dimension ref="A1:M24"/>
  <sheetViews>
    <sheetView workbookViewId="0">
      <pane ySplit="4" topLeftCell="A5" activePane="bottomLeft" state="frozen"/>
      <selection pane="bottomLeft" activeCell="A1" sqref="A1"/>
    </sheetView>
  </sheetViews>
  <sheetFormatPr baseColWidth="8" defaultRowHeight="15" outlineLevelRow="0"/>
  <cols>
    <col width="2" customWidth="1" min="1" max="1"/>
    <col width="14" customWidth="1" min="2" max="2"/>
    <col width="12" customWidth="1" min="3" max="3"/>
    <col width="11" customWidth="1" min="4" max="7"/>
    <col width="13" customWidth="1" min="8" max="9"/>
    <col width="11" customWidth="1" min="10" max="10"/>
    <col width="14" customWidth="1" min="11" max="11"/>
    <col width="10" customWidth="1" min="12" max="12"/>
    <col width="2" customWidth="1" min="13" max="13"/>
  </cols>
  <sheetData>
    <row r="1" ht="32" customHeight="1">
      <c r="A1" s="1" t="inlineStr">
        <is>
          <t xml:space="preserve">    Lime Premium Studios</t>
        </is>
      </c>
      <c r="D1" s="2" t="inlineStr">
        <is>
          <t>Investment Portfolio Tracker — Pro</t>
        </is>
      </c>
      <c r="J1" s="3" t="inlineStr">
        <is>
          <t>🥇 Precious Metals</t>
        </is>
      </c>
    </row>
    <row r="2" ht="54" customHeight="1">
      <c r="A2" s="4">
        <f>"METALS $"&amp;CHAR(10)&amp;(TEXT(SUM(H9:H14),"$#,##0"))</f>
        <v/>
      </c>
      <c r="B2" s="91" t="n"/>
      <c r="C2" s="4">
        <f>"GOLD oz"&amp;CHAR(10)&amp;(IFERROR(D9,"—"))</f>
        <v/>
      </c>
      <c r="D2" s="91" t="n"/>
      <c r="E2" s="4">
        <f>"SILVER oz"&amp;CHAR(10)&amp;(IFERROR(D10,"—"))</f>
        <v/>
      </c>
      <c r="F2" s="91" t="n"/>
      <c r="G2" s="4">
        <f>"COST BASIS"&amp;CHAR(10)&amp;(TEXT(SUM(F9:F14),"$#,##0"))</f>
        <v/>
      </c>
      <c r="H2" s="91" t="n"/>
      <c r="I2" s="4">
        <f>"UNREALIZED"&amp;CHAR(10)&amp;(TEXT(SUM(I9:I14),"+$#,##0;-$#,##0"))</f>
        <v/>
      </c>
      <c r="J2" s="91" t="n"/>
      <c r="K2" s="4">
        <f>"INSURED"&amp;CHAR(10)&amp;(COUNTIF(L9:L14,"✓"))</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Gold / Silver / Platinum / Palladium. Spot price via GOOGLEFINANCE in Sheets. Storage + insurance tracked.</t>
        </is>
      </c>
    </row>
    <row r="6" ht="26" customHeight="1">
      <c r="B6" s="7" t="inlineStr">
        <is>
          <t>Precious metals holdings</t>
        </is>
      </c>
    </row>
    <row r="7" ht="18" customHeight="1">
      <c r="B7" s="8" t="inlineStr">
        <is>
          <t>Spot price refreshes in Sheets via GOOGLEFINANCE. Insured? helps with theft-loss casualty deduction case (consult a CPA).</t>
        </is>
      </c>
    </row>
    <row r="8" ht="3" customHeight="1">
      <c r="B8" s="9" t="n"/>
    </row>
    <row r="10" ht="24" customHeight="1">
      <c r="B10" s="10" t="inlineStr">
        <is>
          <t>Metal</t>
        </is>
      </c>
      <c r="C10" s="10" t="inlineStr">
        <is>
          <t>Form</t>
        </is>
      </c>
      <c r="D10" s="10" t="inlineStr">
        <is>
          <t>Ounces</t>
        </is>
      </c>
      <c r="E10" s="10" t="inlineStr">
        <is>
          <t>Cost/oz</t>
        </is>
      </c>
      <c r="F10" s="10" t="inlineStr">
        <is>
          <t>Cost basis</t>
        </is>
      </c>
      <c r="G10" s="10" t="inlineStr">
        <is>
          <t>Spot/oz</t>
        </is>
      </c>
      <c r="H10" s="10" t="inlineStr">
        <is>
          <t>Current $</t>
        </is>
      </c>
      <c r="I10" s="10" t="inlineStr">
        <is>
          <t>Gain/Loss</t>
        </is>
      </c>
      <c r="J10" s="10" t="inlineStr">
        <is>
          <t>YTD %</t>
        </is>
      </c>
      <c r="K10" s="10" t="inlineStr">
        <is>
          <t>Storage</t>
        </is>
      </c>
      <c r="L10" s="11" t="inlineStr">
        <is>
          <t>Insured</t>
        </is>
      </c>
    </row>
    <row r="11">
      <c r="B11" s="61" t="inlineStr">
        <is>
          <t>Gold</t>
        </is>
      </c>
      <c r="C11" s="42" t="inlineStr">
        <is>
          <t>Coins/Bars</t>
        </is>
      </c>
      <c r="D11" s="62" t="n">
        <v>2.5</v>
      </c>
      <c r="E11" s="27" t="n">
        <v>1820</v>
      </c>
      <c r="F11" s="17">
        <f>IFERROR(D11*E11,"")</f>
        <v/>
      </c>
      <c r="G11" s="29" t="n">
        <v>2420</v>
      </c>
      <c r="H11" s="30">
        <f>IFERROR(D11*G11,"")</f>
        <v/>
      </c>
      <c r="I11" s="31">
        <f>IFERROR(H11-F11,"")</f>
        <v/>
      </c>
      <c r="J11" s="32">
        <f>IFERROR(I11/F11,"")</f>
        <v/>
      </c>
      <c r="K11" s="41" t="inlineStr">
        <is>
          <t>Bank Safe Dep Box</t>
        </is>
      </c>
      <c r="L11" s="63" t="inlineStr">
        <is>
          <t>✓</t>
        </is>
      </c>
    </row>
    <row r="12">
      <c r="B12" s="61" t="inlineStr">
        <is>
          <t>Silver</t>
        </is>
      </c>
      <c r="C12" s="42" t="inlineStr">
        <is>
          <t>Coins</t>
        </is>
      </c>
      <c r="D12" s="62" t="n">
        <v>12</v>
      </c>
      <c r="E12" s="27" t="n">
        <v>23.4</v>
      </c>
      <c r="F12" s="17">
        <f>IFERROR(D12*E12,"")</f>
        <v/>
      </c>
      <c r="G12" s="29" t="n">
        <v>31.8</v>
      </c>
      <c r="H12" s="30">
        <f>IFERROR(D12*G12,"")</f>
        <v/>
      </c>
      <c r="I12" s="31">
        <f>IFERROR(H12-F12,"")</f>
        <v/>
      </c>
      <c r="J12" s="32">
        <f>IFERROR(I12/F12,"")</f>
        <v/>
      </c>
      <c r="K12" s="41" t="inlineStr">
        <is>
          <t>Home Safe</t>
        </is>
      </c>
      <c r="L12" s="63" t="n"/>
    </row>
    <row r="13">
      <c r="B13" s="61" t="inlineStr">
        <is>
          <t>Platinum</t>
        </is>
      </c>
      <c r="C13" s="42" t="inlineStr">
        <is>
          <t>Bars</t>
        </is>
      </c>
      <c r="D13" s="62" t="n">
        <v>0</v>
      </c>
      <c r="E13" s="27" t="n">
        <v>0</v>
      </c>
      <c r="F13" s="17">
        <f>IFERROR(D13*E13,"")</f>
        <v/>
      </c>
      <c r="G13" s="29" t="n">
        <v>0</v>
      </c>
      <c r="H13" s="30">
        <f>IFERROR(D13*G13,"")</f>
        <v/>
      </c>
      <c r="I13" s="31">
        <f>IFERROR(H13-F13,"")</f>
        <v/>
      </c>
      <c r="J13" s="32">
        <f>IFERROR(I13/F13,"")</f>
        <v/>
      </c>
      <c r="K13" s="41" t="inlineStr"/>
      <c r="L13" s="63" t="n"/>
    </row>
    <row r="14">
      <c r="B14" s="61" t="inlineStr">
        <is>
          <t>Palladium</t>
        </is>
      </c>
      <c r="C14" s="42" t="inlineStr">
        <is>
          <t>Bars</t>
        </is>
      </c>
      <c r="D14" s="62" t="n">
        <v>0</v>
      </c>
      <c r="E14" s="27" t="n">
        <v>0</v>
      </c>
      <c r="F14" s="17">
        <f>IFERROR(D14*E14,"")</f>
        <v/>
      </c>
      <c r="G14" s="29" t="n">
        <v>0</v>
      </c>
      <c r="H14" s="30">
        <f>IFERROR(D14*G14,"")</f>
        <v/>
      </c>
      <c r="I14" s="31">
        <f>IFERROR(H14-F14,"")</f>
        <v/>
      </c>
      <c r="J14" s="32">
        <f>IFERROR(I14/F14,"")</f>
        <v/>
      </c>
      <c r="K14" s="41" t="inlineStr"/>
      <c r="L14" s="63" t="n"/>
    </row>
    <row r="15">
      <c r="B15" s="61" t="n"/>
      <c r="C15" s="42" t="n"/>
      <c r="D15" s="62" t="n"/>
      <c r="E15" s="27" t="n"/>
      <c r="F15" s="17">
        <f>IFERROR(D15*E15,"")</f>
        <v/>
      </c>
      <c r="G15" s="29" t="n"/>
      <c r="H15" s="30">
        <f>IFERROR(D15*G15,"")</f>
        <v/>
      </c>
      <c r="I15" s="31">
        <f>IFERROR(H15-F15,"")</f>
        <v/>
      </c>
      <c r="J15" s="32">
        <f>IFERROR(I15/F15,"")</f>
        <v/>
      </c>
      <c r="K15" s="41" t="n"/>
      <c r="L15" s="63" t="n"/>
    </row>
    <row r="16">
      <c r="B16" s="61" t="n"/>
      <c r="C16" s="42" t="n"/>
      <c r="D16" s="62" t="n"/>
      <c r="E16" s="27" t="n"/>
      <c r="F16" s="17">
        <f>IFERROR(D16*E16,"")</f>
        <v/>
      </c>
      <c r="G16" s="29" t="n"/>
      <c r="H16" s="30">
        <f>IFERROR(D16*G16,"")</f>
        <v/>
      </c>
      <c r="I16" s="31">
        <f>IFERROR(H16-F16,"")</f>
        <v/>
      </c>
      <c r="J16" s="32">
        <f>IFERROR(I16/F16,"")</f>
        <v/>
      </c>
      <c r="K16" s="41" t="n"/>
      <c r="L16" s="63" t="n"/>
    </row>
    <row r="18" ht="32" customHeight="1">
      <c r="B18" s="22" t="inlineStr">
        <is>
          <t>🥇  Spot via GOOGLEFINANCE
Gold: `=GOOGLEFINANCE("CURRENCY:XAUUSD")`. Silver: `=GOOGLEFINANCE("CURRENCY:XAGUSD")`. Platinum: XPTUSD. Palladium: XPDUSD. Excel users update monthly from kitco.com. Insurance + storage tracked here because metals are uninsured by default and the casualty-loss tax case requires it.</t>
        </is>
      </c>
      <c r="C18" s="93" t="n"/>
      <c r="D18" s="93" t="n"/>
      <c r="E18" s="93" t="n"/>
      <c r="F18" s="93" t="n"/>
      <c r="G18" s="93" t="n"/>
      <c r="H18" s="93" t="n"/>
      <c r="I18" s="93" t="n"/>
      <c r="J18" s="93" t="n"/>
      <c r="K18" s="93" t="n"/>
      <c r="L18" s="94" t="n"/>
    </row>
    <row r="19" ht="32" customHeight="1">
      <c r="B19" s="95" t="n"/>
      <c r="C19" s="96" t="n"/>
      <c r="D19" s="96" t="n"/>
      <c r="E19" s="96" t="n"/>
      <c r="F19" s="96" t="n"/>
      <c r="G19" s="96" t="n"/>
      <c r="H19" s="96" t="n"/>
      <c r="I19" s="96" t="n"/>
      <c r="J19" s="96" t="n"/>
      <c r="K19" s="96" t="n"/>
      <c r="L19" s="97" t="n"/>
    </row>
    <row r="23" ht="3" customHeight="1">
      <c r="A23" s="9" t="n"/>
    </row>
    <row r="24" ht="22" customHeight="1">
      <c r="A24" s="23" t="inlineStr">
        <is>
          <t>Lime Premium Studios  ·  Investment Portfolio Tracker Pro v1.0  ·  Privacy-first. No Plaid. No app.</t>
        </is>
      </c>
    </row>
  </sheetData>
  <mergeCells count="17">
    <mergeCell ref="B18:L19"/>
    <mergeCell ref="K2:M2"/>
    <mergeCell ref="A2:B2"/>
    <mergeCell ref="D1:I1"/>
    <mergeCell ref="C2:D2"/>
    <mergeCell ref="A1:C1"/>
    <mergeCell ref="G2:H2"/>
    <mergeCell ref="E2:F2"/>
    <mergeCell ref="B6:L6"/>
    <mergeCell ref="I2:J2"/>
    <mergeCell ref="B7:L7"/>
    <mergeCell ref="A23:M23"/>
    <mergeCell ref="A4:M4"/>
    <mergeCell ref="A3:M3"/>
    <mergeCell ref="A24:M24"/>
    <mergeCell ref="J1:M1"/>
    <mergeCell ref="B8:L8"/>
  </mergeCells>
  <pageMargins left="0.7" right="0.7" top="0.75" bottom="0.75" header="0.3" footer="0.3"/>
  <pageSetup orientation="portrait" scale="100" fitToHeight="1" fitToWidth="1" horizontalDpi="4294967295" verticalDpi="4294967295"/>
</worksheet>
</file>

<file path=xl/worksheets/sheet11.xml><?xml version="1.0" encoding="utf-8"?>
<worksheet xmlns="http://schemas.openxmlformats.org/spreadsheetml/2006/main">
  <sheetPr>
    <tabColor rgb="FFC9A14A"/>
    <outlinePr summaryBelow="1" summaryRight="1"/>
    <pageSetUpPr/>
  </sheetPr>
  <dimension ref="A1:M32"/>
  <sheetViews>
    <sheetView workbookViewId="0">
      <pane ySplit="4" topLeftCell="A5" activePane="bottomLeft" state="frozen"/>
      <selection pane="bottomLeft" activeCell="A1" sqref="A1"/>
    </sheetView>
  </sheetViews>
  <sheetFormatPr baseColWidth="8" defaultRowHeight="15" outlineLevelRow="0"/>
  <cols>
    <col width="2" customWidth="1" min="1" max="1"/>
    <col width="12" customWidth="1" min="2" max="2"/>
    <col width="14" customWidth="1" min="3" max="3"/>
    <col width="11" customWidth="1" min="4" max="7"/>
    <col width="13" customWidth="1" min="8" max="9"/>
    <col width="14" customWidth="1" min="10" max="10"/>
    <col width="12" customWidth="1" min="11" max="11"/>
    <col width="2" customWidth="1" min="13" max="13"/>
  </cols>
  <sheetData>
    <row r="1" ht="32" customHeight="1">
      <c r="A1" s="1" t="inlineStr">
        <is>
          <t xml:space="preserve">    Lime Premium Studios</t>
        </is>
      </c>
      <c r="D1" s="2" t="inlineStr">
        <is>
          <t>Investment Portfolio Tracker — Pro</t>
        </is>
      </c>
      <c r="J1" s="3" t="inlineStr">
        <is>
          <t>💎 Crypto Tracker</t>
        </is>
      </c>
    </row>
    <row r="2" ht="54" customHeight="1">
      <c r="A2" s="4">
        <f>"COINS"&amp;CHAR(10)&amp;(COUNTA(B9:B22))</f>
        <v/>
      </c>
      <c r="B2" s="91" t="n"/>
      <c r="C2" s="4">
        <f>"TOTAL $"&amp;CHAR(10)&amp;(TEXT(SUM(H9:H22),"$#,##0"))</f>
        <v/>
      </c>
      <c r="D2" s="91" t="n"/>
      <c r="E2" s="4">
        <f>"BTC"&amp;CHAR(10)&amp;(IFERROR(D9,"—"))</f>
        <v/>
      </c>
      <c r="F2" s="91" t="n"/>
      <c r="G2" s="4">
        <f>"ETH"&amp;CHAR(10)&amp;(IFERROR(D10,"—"))</f>
        <v/>
      </c>
      <c r="H2" s="91" t="n"/>
      <c r="I2" s="4">
        <f>"COLD WALLET"&amp;CHAR(10)&amp;(COUNTIF(L9:L22,"✓"))</f>
        <v/>
      </c>
      <c r="J2" s="91" t="n"/>
      <c r="K2" s="4">
        <f>"EXCHANGES"&amp;CHAR(10)&amp;(SUMPRODUCT(1/COUNTIF(J9:J22,J9:J22&amp;"")))</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BTC / ETH / altcoins per exchange + wallet. Anonymized-by-default label option (no exchange names in screenshots).</t>
        </is>
      </c>
    </row>
    <row r="6" ht="26" customHeight="1">
      <c r="B6" s="7" t="inlineStr">
        <is>
          <t>Crypto holdings — exchange + wallet location</t>
        </is>
      </c>
    </row>
    <row r="7" ht="18" customHeight="1">
      <c r="B7" s="8" t="inlineStr">
        <is>
          <t>Anonymize column J ("Exchange 1" / "Wallet A") if you screenshot. Cold-wallet flag in column L = self-custody (hardware wallet or paper).</t>
        </is>
      </c>
    </row>
    <row r="8" ht="3" customHeight="1">
      <c r="B8" s="9" t="n"/>
    </row>
    <row r="10" ht="24" customHeight="1">
      <c r="B10" s="10" t="inlineStr">
        <is>
          <t>Coin</t>
        </is>
      </c>
      <c r="C10" s="10" t="inlineStr">
        <is>
          <t>Network</t>
        </is>
      </c>
      <c r="D10" s="10" t="inlineStr">
        <is>
          <t>Quantity</t>
        </is>
      </c>
      <c r="E10" s="10" t="inlineStr">
        <is>
          <t>Cost/coin</t>
        </is>
      </c>
      <c r="F10" s="10" t="inlineStr">
        <is>
          <t>Cost basis</t>
        </is>
      </c>
      <c r="G10" s="10" t="inlineStr">
        <is>
          <t>Current $</t>
        </is>
      </c>
      <c r="H10" s="10" t="inlineStr">
        <is>
          <t>Current value</t>
        </is>
      </c>
      <c r="I10" s="10" t="inlineStr">
        <is>
          <t>Gain/Loss</t>
        </is>
      </c>
      <c r="J10" s="10" t="inlineStr">
        <is>
          <t>% Portfolio</t>
        </is>
      </c>
      <c r="K10" s="10" t="inlineStr">
        <is>
          <t>Exchange/Wallet</t>
        </is>
      </c>
      <c r="L10" s="11" t="inlineStr">
        <is>
          <t>Cold?</t>
        </is>
      </c>
    </row>
    <row r="11">
      <c r="B11" s="12" t="inlineStr">
        <is>
          <t>BTC</t>
        </is>
      </c>
      <c r="C11" s="25" t="inlineStr">
        <is>
          <t>Bitcoin</t>
        </is>
      </c>
      <c r="D11" s="64" t="n">
        <v>0.42</v>
      </c>
      <c r="E11" s="27" t="n">
        <v>28000</v>
      </c>
      <c r="F11" s="17">
        <f>IFERROR(D11*E11,"")</f>
        <v/>
      </c>
      <c r="G11" s="29" t="n">
        <v>65000</v>
      </c>
      <c r="H11" s="30">
        <f>IFERROR(D11*G11,"")</f>
        <v/>
      </c>
      <c r="I11" s="31">
        <f>IFERROR(H11-F11,"")</f>
        <v/>
      </c>
      <c r="J11" s="14">
        <f>IFERROR(H11/SUM('📊 Holdings Master'!J9:J68),"")</f>
        <v/>
      </c>
      <c r="K11" s="41" t="inlineStr">
        <is>
          <t>Exchange 1</t>
        </is>
      </c>
      <c r="L11" s="63" t="inlineStr"/>
    </row>
    <row r="12">
      <c r="B12" s="12" t="inlineStr">
        <is>
          <t>ETH</t>
        </is>
      </c>
      <c r="C12" s="25" t="inlineStr">
        <is>
          <t>Ethereum</t>
        </is>
      </c>
      <c r="D12" s="64" t="n">
        <v>2.1</v>
      </c>
      <c r="E12" s="27" t="n">
        <v>1850</v>
      </c>
      <c r="F12" s="17">
        <f>IFERROR(D12*E12,"")</f>
        <v/>
      </c>
      <c r="G12" s="29" t="n">
        <v>3200</v>
      </c>
      <c r="H12" s="30">
        <f>IFERROR(D12*G12,"")</f>
        <v/>
      </c>
      <c r="I12" s="31">
        <f>IFERROR(H12-F12,"")</f>
        <v/>
      </c>
      <c r="J12" s="14">
        <f>IFERROR(H12/SUM('📊 Holdings Master'!J9:J68),"")</f>
        <v/>
      </c>
      <c r="K12" s="41" t="inlineStr">
        <is>
          <t>Cold Wallet</t>
        </is>
      </c>
      <c r="L12" s="63" t="inlineStr">
        <is>
          <t>✓</t>
        </is>
      </c>
    </row>
    <row r="13">
      <c r="B13" s="12" t="inlineStr">
        <is>
          <t>SOL</t>
        </is>
      </c>
      <c r="C13" s="25" t="inlineStr">
        <is>
          <t>Solana</t>
        </is>
      </c>
      <c r="D13" s="64" t="n">
        <v>0</v>
      </c>
      <c r="E13" s="27" t="n">
        <v>0</v>
      </c>
      <c r="F13" s="17">
        <f>IFERROR(D13*E13,"")</f>
        <v/>
      </c>
      <c r="G13" s="29" t="n">
        <v>0</v>
      </c>
      <c r="H13" s="30">
        <f>IFERROR(D13*G13,"")</f>
        <v/>
      </c>
      <c r="I13" s="31">
        <f>IFERROR(H13-F13,"")</f>
        <v/>
      </c>
      <c r="J13" s="14">
        <f>IFERROR(H13/SUM('📊 Holdings Master'!J9:J68),"")</f>
        <v/>
      </c>
      <c r="K13" s="41" t="inlineStr"/>
      <c r="L13" s="63" t="inlineStr"/>
    </row>
    <row r="14">
      <c r="B14" s="12" t="n"/>
      <c r="C14" s="25" t="n"/>
      <c r="D14" s="64" t="n"/>
      <c r="E14" s="27" t="n"/>
      <c r="F14" s="17">
        <f>IFERROR(D14*E14,"")</f>
        <v/>
      </c>
      <c r="G14" s="29" t="n"/>
      <c r="H14" s="30">
        <f>IFERROR(D14*G14,"")</f>
        <v/>
      </c>
      <c r="I14" s="31">
        <f>IFERROR(H14-F14,"")</f>
        <v/>
      </c>
      <c r="J14" s="14">
        <f>IFERROR(H14/SUM('📊 Holdings Master'!J9:J68),"")</f>
        <v/>
      </c>
      <c r="K14" s="41" t="n"/>
      <c r="L14" s="63" t="n"/>
    </row>
    <row r="15">
      <c r="B15" s="12" t="n"/>
      <c r="C15" s="25" t="n"/>
      <c r="D15" s="64" t="n"/>
      <c r="E15" s="27" t="n"/>
      <c r="F15" s="17">
        <f>IFERROR(D15*E15,"")</f>
        <v/>
      </c>
      <c r="G15" s="29" t="n"/>
      <c r="H15" s="30">
        <f>IFERROR(D15*G15,"")</f>
        <v/>
      </c>
      <c r="I15" s="31">
        <f>IFERROR(H15-F15,"")</f>
        <v/>
      </c>
      <c r="J15" s="14">
        <f>IFERROR(H15/SUM('📊 Holdings Master'!J9:J68),"")</f>
        <v/>
      </c>
      <c r="K15" s="41" t="n"/>
      <c r="L15" s="63" t="n"/>
    </row>
    <row r="16">
      <c r="B16" s="12" t="n"/>
      <c r="C16" s="25" t="n"/>
      <c r="D16" s="64" t="n"/>
      <c r="E16" s="27" t="n"/>
      <c r="F16" s="17">
        <f>IFERROR(D16*E16,"")</f>
        <v/>
      </c>
      <c r="G16" s="29" t="n"/>
      <c r="H16" s="30">
        <f>IFERROR(D16*G16,"")</f>
        <v/>
      </c>
      <c r="I16" s="31">
        <f>IFERROR(H16-F16,"")</f>
        <v/>
      </c>
      <c r="J16" s="14">
        <f>IFERROR(H16/SUM('📊 Holdings Master'!J9:J68),"")</f>
        <v/>
      </c>
      <c r="K16" s="41" t="n"/>
      <c r="L16" s="63" t="n"/>
    </row>
    <row r="17">
      <c r="B17" s="12" t="n"/>
      <c r="C17" s="25" t="n"/>
      <c r="D17" s="64" t="n"/>
      <c r="E17" s="27" t="n"/>
      <c r="F17" s="17">
        <f>IFERROR(D17*E17,"")</f>
        <v/>
      </c>
      <c r="G17" s="29" t="n"/>
      <c r="H17" s="30">
        <f>IFERROR(D17*G17,"")</f>
        <v/>
      </c>
      <c r="I17" s="31">
        <f>IFERROR(H17-F17,"")</f>
        <v/>
      </c>
      <c r="J17" s="14">
        <f>IFERROR(H17/SUM('📊 Holdings Master'!J9:J68),"")</f>
        <v/>
      </c>
      <c r="K17" s="41" t="n"/>
      <c r="L17" s="63" t="n"/>
    </row>
    <row r="18">
      <c r="B18" s="12" t="n"/>
      <c r="C18" s="25" t="n"/>
      <c r="D18" s="64" t="n"/>
      <c r="E18" s="27" t="n"/>
      <c r="F18" s="17">
        <f>IFERROR(D18*E18,"")</f>
        <v/>
      </c>
      <c r="G18" s="29" t="n"/>
      <c r="H18" s="30">
        <f>IFERROR(D18*G18,"")</f>
        <v/>
      </c>
      <c r="I18" s="31">
        <f>IFERROR(H18-F18,"")</f>
        <v/>
      </c>
      <c r="J18" s="14">
        <f>IFERROR(H18/SUM('📊 Holdings Master'!J9:J68),"")</f>
        <v/>
      </c>
      <c r="K18" s="41" t="n"/>
      <c r="L18" s="63" t="n"/>
    </row>
    <row r="19">
      <c r="B19" s="12" t="n"/>
      <c r="C19" s="25" t="n"/>
      <c r="D19" s="64" t="n"/>
      <c r="E19" s="27" t="n"/>
      <c r="F19" s="17">
        <f>IFERROR(D19*E19,"")</f>
        <v/>
      </c>
      <c r="G19" s="29" t="n"/>
      <c r="H19" s="30">
        <f>IFERROR(D19*G19,"")</f>
        <v/>
      </c>
      <c r="I19" s="31">
        <f>IFERROR(H19-F19,"")</f>
        <v/>
      </c>
      <c r="J19" s="14">
        <f>IFERROR(H19/SUM('📊 Holdings Master'!J9:J68),"")</f>
        <v/>
      </c>
      <c r="K19" s="41" t="n"/>
      <c r="L19" s="63" t="n"/>
    </row>
    <row r="20">
      <c r="B20" s="12" t="n"/>
      <c r="C20" s="25" t="n"/>
      <c r="D20" s="64" t="n"/>
      <c r="E20" s="27" t="n"/>
      <c r="F20" s="17">
        <f>IFERROR(D20*E20,"")</f>
        <v/>
      </c>
      <c r="G20" s="29" t="n"/>
      <c r="H20" s="30">
        <f>IFERROR(D20*G20,"")</f>
        <v/>
      </c>
      <c r="I20" s="31">
        <f>IFERROR(H20-F20,"")</f>
        <v/>
      </c>
      <c r="J20" s="14">
        <f>IFERROR(H20/SUM('📊 Holdings Master'!J9:J68),"")</f>
        <v/>
      </c>
      <c r="K20" s="41" t="n"/>
      <c r="L20" s="63" t="n"/>
    </row>
    <row r="21">
      <c r="B21" s="12" t="n"/>
      <c r="C21" s="25" t="n"/>
      <c r="D21" s="64" t="n"/>
      <c r="E21" s="27" t="n"/>
      <c r="F21" s="17">
        <f>IFERROR(D21*E21,"")</f>
        <v/>
      </c>
      <c r="G21" s="29" t="n"/>
      <c r="H21" s="30">
        <f>IFERROR(D21*G21,"")</f>
        <v/>
      </c>
      <c r="I21" s="31">
        <f>IFERROR(H21-F21,"")</f>
        <v/>
      </c>
      <c r="J21" s="14">
        <f>IFERROR(H21/SUM('📊 Holdings Master'!J9:J68),"")</f>
        <v/>
      </c>
      <c r="K21" s="41" t="n"/>
      <c r="L21" s="63" t="n"/>
    </row>
    <row r="22">
      <c r="B22" s="12" t="n"/>
      <c r="C22" s="25" t="n"/>
      <c r="D22" s="64" t="n"/>
      <c r="E22" s="27" t="n"/>
      <c r="F22" s="17">
        <f>IFERROR(D22*E22,"")</f>
        <v/>
      </c>
      <c r="G22" s="29" t="n"/>
      <c r="H22" s="30">
        <f>IFERROR(D22*G22,"")</f>
        <v/>
      </c>
      <c r="I22" s="31">
        <f>IFERROR(H22-F22,"")</f>
        <v/>
      </c>
      <c r="J22" s="14">
        <f>IFERROR(H22/SUM('📊 Holdings Master'!J9:J68),"")</f>
        <v/>
      </c>
      <c r="K22" s="41" t="n"/>
      <c r="L22" s="63" t="n"/>
    </row>
    <row r="23">
      <c r="B23" s="12" t="inlineStr">
        <is>
          <t>Stablecoins (USDC, USDT, DAI) = enter price $1.00, asset class 'Cash'. Volatile crypto (BTC, ETH, SOL) carries significant risk. Staking rewards = taxable income in most jurisdictions — consult a tax advisor.</t>
        </is>
      </c>
      <c r="C23" s="25" t="n"/>
      <c r="D23" s="64" t="n"/>
      <c r="E23" s="27" t="n"/>
      <c r="F23" s="17">
        <f>IFERROR(D23*E23,"")</f>
        <v/>
      </c>
      <c r="G23" s="29" t="n"/>
      <c r="H23" s="30">
        <f>IFERROR(D23*G23,"")</f>
        <v/>
      </c>
      <c r="I23" s="31">
        <f>IFERROR(H23-F23,"")</f>
        <v/>
      </c>
      <c r="J23" s="14">
        <f>IFERROR(H23/SUM('📊 Holdings Master'!J9:J68),"")</f>
        <v/>
      </c>
      <c r="K23" s="41" t="n"/>
      <c r="L23" s="63" t="n"/>
    </row>
    <row r="24">
      <c r="B24" s="12" t="n"/>
      <c r="C24" s="25" t="n"/>
      <c r="D24" s="64" t="n"/>
      <c r="E24" s="27" t="n"/>
      <c r="F24" s="17">
        <f>IFERROR(D24*E24,"")</f>
        <v/>
      </c>
      <c r="G24" s="29" t="n"/>
      <c r="H24" s="30">
        <f>IFERROR(D24*G24,"")</f>
        <v/>
      </c>
      <c r="I24" s="31">
        <f>IFERROR(H24-F24,"")</f>
        <v/>
      </c>
      <c r="J24" s="14">
        <f>IFERROR(H24/SUM('📊 Holdings Master'!J9:J68),"")</f>
        <v/>
      </c>
      <c r="K24" s="41" t="n"/>
      <c r="L24" s="63" t="n"/>
    </row>
    <row r="26" ht="32" customHeight="1">
      <c r="B26" s="22" t="inlineStr">
        <is>
          <t>🔐  Cold wallet = self-custody. Hot wallet = exchange-held
Crypto held on exchanges (Coinbase, Binance, Kraken) = "hot" — you don't actually own the private keys, the exchange does. Cold wallet (Ledger / Trezor / paper) = you hold the keys. After FTX 2022, the rule "not your keys, not your coins" became conventional wisdom. Cold-flag column tracks which is which.</t>
        </is>
      </c>
      <c r="C26" s="93" t="n"/>
      <c r="D26" s="93" t="n"/>
      <c r="E26" s="93" t="n"/>
      <c r="F26" s="93" t="n"/>
      <c r="G26" s="93" t="n"/>
      <c r="H26" s="93" t="n"/>
      <c r="I26" s="93" t="n"/>
      <c r="J26" s="93" t="n"/>
      <c r="K26" s="93" t="n"/>
      <c r="L26" s="94" t="n"/>
    </row>
    <row r="27" ht="32" customHeight="1">
      <c r="B27" s="95" t="n"/>
      <c r="C27" s="96" t="n"/>
      <c r="D27" s="96" t="n"/>
      <c r="E27" s="96" t="n"/>
      <c r="F27" s="96" t="n"/>
      <c r="G27" s="96" t="n"/>
      <c r="H27" s="96" t="n"/>
      <c r="I27" s="96" t="n"/>
      <c r="J27" s="96" t="n"/>
      <c r="K27" s="96" t="n"/>
      <c r="L27" s="97" t="n"/>
    </row>
    <row r="31" ht="3" customHeight="1">
      <c r="A31" s="9" t="n"/>
    </row>
    <row r="32" ht="22" customHeight="1">
      <c r="A32" s="23" t="inlineStr">
        <is>
          <t>Lime Premium Studios  ·  Investment Portfolio Tracker Pro v1.0  ·  Privacy-first. No Plaid. No app.</t>
        </is>
      </c>
    </row>
  </sheetData>
  <mergeCells count="17">
    <mergeCell ref="K2:M2"/>
    <mergeCell ref="A2:B2"/>
    <mergeCell ref="D1:I1"/>
    <mergeCell ref="C2:D2"/>
    <mergeCell ref="A1:C1"/>
    <mergeCell ref="G2:H2"/>
    <mergeCell ref="E2:F2"/>
    <mergeCell ref="B6:L6"/>
    <mergeCell ref="I2:J2"/>
    <mergeCell ref="B7:L7"/>
    <mergeCell ref="A31:M31"/>
    <mergeCell ref="A32:M32"/>
    <mergeCell ref="A4:M4"/>
    <mergeCell ref="A3:M3"/>
    <mergeCell ref="B26:L27"/>
    <mergeCell ref="J1:M1"/>
    <mergeCell ref="B8:L8"/>
  </mergeCells>
  <pageMargins left="0.7" right="0.7" top="0.75" bottom="0.75" header="0.3" footer="0.3"/>
  <pageSetup orientation="portrait" scale="100" fitToHeight="1" fitToWidth="1" horizontalDpi="4294967295" verticalDpi="4294967295"/>
</worksheet>
</file>

<file path=xl/worksheets/sheet12.xml><?xml version="1.0" encoding="utf-8"?>
<worksheet xmlns="http://schemas.openxmlformats.org/spreadsheetml/2006/main">
  <sheetPr>
    <tabColor rgb="FFC9A14A"/>
    <outlinePr summaryBelow="1" summaryRight="1"/>
    <pageSetUpPr/>
  </sheetPr>
  <dimension ref="A1:M31"/>
  <sheetViews>
    <sheetView workbookViewId="0">
      <pane ySplit="4" topLeftCell="A5" activePane="bottomLeft" state="frozen"/>
      <selection pane="bottomLeft" activeCell="A1" sqref="A1"/>
    </sheetView>
  </sheetViews>
  <sheetFormatPr baseColWidth="8" defaultRowHeight="15" outlineLevelRow="0"/>
  <cols>
    <col width="2" customWidth="1" min="1" max="1"/>
    <col width="10" customWidth="1" min="2" max="2"/>
    <col width="22" customWidth="1" min="3" max="3"/>
    <col width="10" customWidth="1" min="4" max="7"/>
    <col width="12" customWidth="1" min="8" max="8"/>
    <col width="10" customWidth="1" min="9" max="9"/>
    <col width="13" customWidth="1" min="11" max="11"/>
    <col width="8" customWidth="1" min="12" max="12"/>
    <col width="2" customWidth="1" min="13" max="13"/>
  </cols>
  <sheetData>
    <row r="1" ht="32" customHeight="1">
      <c r="A1" s="1" t="inlineStr">
        <is>
          <t xml:space="preserve">    Lime Premium Studios</t>
        </is>
      </c>
      <c r="D1" s="2" t="inlineStr">
        <is>
          <t>Investment Portfolio Tracker — Pro</t>
        </is>
      </c>
      <c r="J1" s="3" t="inlineStr">
        <is>
          <t>🏢 REITs Tracker</t>
        </is>
      </c>
    </row>
    <row r="2" ht="54" customHeight="1">
      <c r="A2" s="4">
        <f>"REITS"&amp;CHAR(10)&amp;(COUNTA(B9:B20))</f>
        <v/>
      </c>
      <c r="B2" s="91" t="n"/>
      <c r="C2" s="4">
        <f>"POSITION $"&amp;CHAR(10)&amp;(TEXT(SUM(H9:H20),"$#,##0"))</f>
        <v/>
      </c>
      <c r="D2" s="91" t="n"/>
      <c r="E2" s="4">
        <f>"AVG YIELD"&amp;CHAR(10)&amp;(TEXT(IFERROR(SUMPRODUCT(H9:H20,I9:I20)/SUM(H9:H20),0),"0.00%"))</f>
        <v/>
      </c>
      <c r="F2" s="91" t="n"/>
      <c r="G2" s="4">
        <f>"DIV $/YR"&amp;CHAR(10)&amp;(TEXT(SUMPRODUCT(H9:H20,I9:I20),"$#,##0"))</f>
        <v/>
      </c>
      <c r="H2" s="91" t="n"/>
      <c r="I2" s="4">
        <f>"IN ROTH"&amp;CHAR(10)&amp;(COUNTIF(K9:K20,"Roth IRA"))</f>
        <v/>
      </c>
      <c r="J2" s="91" t="n"/>
      <c r="K2" s="4">
        <f>"AVG FFO"&amp;CHAR(10)&amp;(TEXT(IFERROR(AVERAGE(J9:J20),0),"$#,##0.00"))</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REIT-specific: FFO (vs EPS), sector breakdown, dividend yield. Non-qualified dividends best held in Roth IRA.</t>
        </is>
      </c>
    </row>
    <row r="6" ht="26" customHeight="1">
      <c r="B6" s="7" t="inlineStr">
        <is>
          <t>REIT holdings + sector breakdown</t>
        </is>
      </c>
    </row>
    <row r="7" ht="18" customHeight="1">
      <c r="B7" s="8" t="inlineStr">
        <is>
          <t>FFO (Funds From Operations) is the REIT P/E equivalent. Sectors: Industrial, Residential, Healthcare, Office, Data Center, Retail, Specialty.</t>
        </is>
      </c>
    </row>
    <row r="8" ht="3" customHeight="1">
      <c r="B8" s="9" t="n"/>
    </row>
    <row r="10" ht="24" customHeight="1">
      <c r="B10" s="10" t="inlineStr">
        <is>
          <t>Ticker</t>
        </is>
      </c>
      <c r="C10" s="10" t="inlineStr">
        <is>
          <t>Name</t>
        </is>
      </c>
      <c r="D10" s="10" t="inlineStr">
        <is>
          <t>Sector</t>
        </is>
      </c>
      <c r="E10" s="10" t="inlineStr">
        <is>
          <t>Shares</t>
        </is>
      </c>
      <c r="F10" s="10" t="inlineStr">
        <is>
          <t>Cost/sh</t>
        </is>
      </c>
      <c r="G10" s="10" t="inlineStr">
        <is>
          <t>Price</t>
        </is>
      </c>
      <c r="H10" s="10" t="inlineStr">
        <is>
          <t>Position $</t>
        </is>
      </c>
      <c r="I10" s="10" t="inlineStr">
        <is>
          <t>Yield</t>
        </is>
      </c>
      <c r="J10" s="10" t="inlineStr">
        <is>
          <t>FFO/sh</t>
        </is>
      </c>
      <c r="K10" s="10" t="inlineStr">
        <is>
          <t>Account</t>
        </is>
      </c>
      <c r="L10" s="11" t="inlineStr">
        <is>
          <t>Notes</t>
        </is>
      </c>
    </row>
    <row r="11">
      <c r="B11" s="12" t="inlineStr">
        <is>
          <t>VNQ</t>
        </is>
      </c>
      <c r="C11" s="25" t="inlineStr">
        <is>
          <t>Vanguard Real Estate ETF</t>
        </is>
      </c>
      <c r="D11" s="41" t="inlineStr">
        <is>
          <t>Diversified</t>
        </is>
      </c>
      <c r="E11" s="65" t="n">
        <v>165</v>
      </c>
      <c r="F11" s="27" t="n">
        <v>88.09999999999999</v>
      </c>
      <c r="G11" s="29" t="n">
        <v>90.90000000000001</v>
      </c>
      <c r="H11" s="30">
        <f>IFERROR(E11*G11,"")</f>
        <v/>
      </c>
      <c r="I11" s="44" t="n">
        <v>0.038</v>
      </c>
      <c r="J11" s="27" t="n">
        <v>0</v>
      </c>
      <c r="K11" s="41" t="inlineStr">
        <is>
          <t>Brokerage Taxable</t>
        </is>
      </c>
      <c r="L11" s="60" t="n"/>
    </row>
    <row r="12">
      <c r="B12" s="12" t="inlineStr">
        <is>
          <t>O</t>
        </is>
      </c>
      <c r="C12" s="25" t="inlineStr">
        <is>
          <t>Realty Income Corp</t>
        </is>
      </c>
      <c r="D12" s="41" t="inlineStr">
        <is>
          <t>Retail (Net Lease)</t>
        </is>
      </c>
      <c r="E12" s="65" t="n">
        <v>0</v>
      </c>
      <c r="F12" s="27" t="n">
        <v>0</v>
      </c>
      <c r="G12" s="29" t="n">
        <v>0</v>
      </c>
      <c r="H12" s="30">
        <f>IFERROR(E12*G12,"")</f>
        <v/>
      </c>
      <c r="I12" s="44" t="n">
        <v>0</v>
      </c>
      <c r="J12" s="27" t="n">
        <v>4.05</v>
      </c>
      <c r="K12" s="41" t="inlineStr"/>
      <c r="L12" s="60" t="n"/>
    </row>
    <row r="13">
      <c r="B13" s="12" t="inlineStr">
        <is>
          <t>PLD</t>
        </is>
      </c>
      <c r="C13" s="25" t="inlineStr">
        <is>
          <t>Prologis Inc</t>
        </is>
      </c>
      <c r="D13" s="41" t="inlineStr">
        <is>
          <t>Industrial</t>
        </is>
      </c>
      <c r="E13" s="65" t="n">
        <v>0</v>
      </c>
      <c r="F13" s="27" t="n">
        <v>0</v>
      </c>
      <c r="G13" s="29" t="n">
        <v>0</v>
      </c>
      <c r="H13" s="30">
        <f>IFERROR(E13*G13,"")</f>
        <v/>
      </c>
      <c r="I13" s="44" t="n">
        <v>0</v>
      </c>
      <c r="J13" s="27" t="n">
        <v>5.7</v>
      </c>
      <c r="K13" s="41" t="inlineStr"/>
      <c r="L13" s="60" t="n"/>
    </row>
    <row r="14">
      <c r="B14" s="12" t="n"/>
      <c r="C14" s="25" t="n"/>
      <c r="D14" s="41" t="n"/>
      <c r="E14" s="65" t="n"/>
      <c r="F14" s="27" t="n"/>
      <c r="G14" s="29" t="n"/>
      <c r="H14" s="30">
        <f>IFERROR(E14*G14,"")</f>
        <v/>
      </c>
      <c r="I14" s="44" t="n"/>
      <c r="J14" s="27" t="n"/>
      <c r="K14" s="41" t="n"/>
      <c r="L14" s="60" t="n"/>
    </row>
    <row r="15">
      <c r="B15" s="12" t="n"/>
      <c r="C15" s="25" t="n"/>
      <c r="D15" s="41" t="n"/>
      <c r="E15" s="65" t="n"/>
      <c r="F15" s="27" t="n"/>
      <c r="G15" s="29" t="n"/>
      <c r="H15" s="30">
        <f>IFERROR(E15*G15,"")</f>
        <v/>
      </c>
      <c r="I15" s="44" t="n"/>
      <c r="J15" s="27" t="n"/>
      <c r="K15" s="41" t="n"/>
      <c r="L15" s="60" t="n"/>
    </row>
    <row r="16">
      <c r="B16" s="12" t="n"/>
      <c r="C16" s="25" t="n"/>
      <c r="D16" s="41" t="n"/>
      <c r="E16" s="65" t="n"/>
      <c r="F16" s="27" t="n"/>
      <c r="G16" s="29" t="n"/>
      <c r="H16" s="30">
        <f>IFERROR(E16*G16,"")</f>
        <v/>
      </c>
      <c r="I16" s="44" t="n"/>
      <c r="J16" s="27" t="n"/>
      <c r="K16" s="41" t="n"/>
      <c r="L16" s="60" t="n"/>
    </row>
    <row r="17">
      <c r="B17" s="12" t="n"/>
      <c r="C17" s="25" t="n"/>
      <c r="D17" s="41" t="n"/>
      <c r="E17" s="65" t="n"/>
      <c r="F17" s="27" t="n"/>
      <c r="G17" s="29" t="n"/>
      <c r="H17" s="30">
        <f>IFERROR(E17*G17,"")</f>
        <v/>
      </c>
      <c r="I17" s="44" t="n"/>
      <c r="J17" s="27" t="n"/>
      <c r="K17" s="41" t="n"/>
      <c r="L17" s="60" t="n"/>
    </row>
    <row r="18">
      <c r="B18" s="12" t="n"/>
      <c r="C18" s="25" t="n"/>
      <c r="D18" s="41" t="n"/>
      <c r="E18" s="65" t="n"/>
      <c r="F18" s="27" t="n"/>
      <c r="G18" s="29" t="n"/>
      <c r="H18" s="30">
        <f>IFERROR(E18*G18,"")</f>
        <v/>
      </c>
      <c r="I18" s="44" t="n"/>
      <c r="J18" s="27" t="n"/>
      <c r="K18" s="41" t="n"/>
      <c r="L18" s="60" t="n"/>
    </row>
    <row r="19">
      <c r="B19" s="12" t="n"/>
      <c r="C19" s="25" t="n"/>
      <c r="D19" s="41" t="n"/>
      <c r="E19" s="65" t="n"/>
      <c r="F19" s="27" t="n"/>
      <c r="G19" s="29" t="n"/>
      <c r="H19" s="30">
        <f>IFERROR(E19*G19,"")</f>
        <v/>
      </c>
      <c r="I19" s="44" t="n"/>
      <c r="J19" s="27" t="n"/>
      <c r="K19" s="41" t="n"/>
      <c r="L19" s="60" t="n"/>
    </row>
    <row r="20">
      <c r="B20" s="12" t="n"/>
      <c r="C20" s="25" t="n"/>
      <c r="D20" s="41" t="n"/>
      <c r="E20" s="65" t="n"/>
      <c r="F20" s="27" t="n"/>
      <c r="G20" s="29" t="n"/>
      <c r="H20" s="30">
        <f>IFERROR(E20*G20,"")</f>
        <v/>
      </c>
      <c r="I20" s="44" t="n"/>
      <c r="J20" s="27" t="n"/>
      <c r="K20" s="41" t="n"/>
      <c r="L20" s="60" t="n"/>
    </row>
    <row r="21">
      <c r="B21" s="12" t="n"/>
      <c r="C21" s="25" t="n"/>
      <c r="D21" s="41" t="n"/>
      <c r="E21" s="65" t="n"/>
      <c r="F21" s="27" t="n"/>
      <c r="G21" s="29" t="n"/>
      <c r="H21" s="30">
        <f>IFERROR(E21*G21,"")</f>
        <v/>
      </c>
      <c r="I21" s="44" t="n"/>
      <c r="J21" s="27" t="n"/>
      <c r="K21" s="41" t="n"/>
      <c r="L21" s="60" t="n"/>
    </row>
    <row r="22">
      <c r="B22" s="12" t="n"/>
      <c r="C22" s="25" t="n"/>
      <c r="D22" s="41" t="n"/>
      <c r="E22" s="65" t="n"/>
      <c r="F22" s="27" t="n"/>
      <c r="G22" s="29" t="n"/>
      <c r="H22" s="30">
        <f>IFERROR(E22*G22,"")</f>
        <v/>
      </c>
      <c r="I22" s="44" t="n"/>
      <c r="J22" s="27" t="n"/>
      <c r="K22" s="41" t="n"/>
      <c r="L22" s="60" t="n"/>
    </row>
    <row r="25" ht="30" customHeight="1">
      <c r="B25" s="22" t="inlineStr">
        <is>
          <t>🏢  REIT placement matters more than yield-chase
REIT dividends are NON-qualified — taxed as ordinary income at your marginal rate (24-37% federal + state). Same yield in a Roth IRA = tax-free forever. The AI Dividend Income Optimizer (page 8) flags this misplacement specifically.</t>
        </is>
      </c>
      <c r="C25" s="93" t="n"/>
      <c r="D25" s="93" t="n"/>
      <c r="E25" s="93" t="n"/>
      <c r="F25" s="93" t="n"/>
      <c r="G25" s="93" t="n"/>
      <c r="H25" s="93" t="n"/>
      <c r="I25" s="93" t="n"/>
      <c r="J25" s="93" t="n"/>
      <c r="K25" s="93" t="n"/>
      <c r="L25" s="94" t="n"/>
    </row>
    <row r="26" ht="30" customHeight="1">
      <c r="B26" s="95" t="n"/>
      <c r="C26" s="96" t="n"/>
      <c r="D26" s="96" t="n"/>
      <c r="E26" s="96" t="n"/>
      <c r="F26" s="96" t="n"/>
      <c r="G26" s="96" t="n"/>
      <c r="H26" s="96" t="n"/>
      <c r="I26" s="96" t="n"/>
      <c r="J26" s="96" t="n"/>
      <c r="K26" s="96" t="n"/>
      <c r="L26" s="97" t="n"/>
    </row>
    <row r="30" ht="3" customHeight="1">
      <c r="A30" s="9" t="n"/>
    </row>
    <row r="31" ht="22" customHeight="1">
      <c r="A31" s="23" t="inlineStr">
        <is>
          <t>Lime Premium Studios  ·  Investment Portfolio Tracker Pro v1.0  ·  Privacy-first. No Plaid. No app.</t>
        </is>
      </c>
    </row>
  </sheetData>
  <mergeCells count="17">
    <mergeCell ref="K2:M2"/>
    <mergeCell ref="A2:B2"/>
    <mergeCell ref="D1:I1"/>
    <mergeCell ref="C2:D2"/>
    <mergeCell ref="A1:C1"/>
    <mergeCell ref="G2:H2"/>
    <mergeCell ref="E2:F2"/>
    <mergeCell ref="B6:L6"/>
    <mergeCell ref="I2:J2"/>
    <mergeCell ref="B7:L7"/>
    <mergeCell ref="A31:M31"/>
    <mergeCell ref="A4:M4"/>
    <mergeCell ref="B25:L26"/>
    <mergeCell ref="A3:M3"/>
    <mergeCell ref="A30:M30"/>
    <mergeCell ref="J1:M1"/>
    <mergeCell ref="B8:L8"/>
  </mergeCells>
  <conditionalFormatting sqref="K11:K22">
    <cfRule type="containsText" priority="1" dxfId="14">
      <formula>NOT(ISERROR(SEARCH("Brokerage Taxable",K11)))</formula>
    </cfRule>
    <cfRule type="containsText" priority="2" dxfId="20">
      <formula>NOT(ISERROR(SEARCH("Roth IRA",K11)))</formula>
    </cfRule>
  </conditionalFormatting>
  <dataValidations count="2">
    <dataValidation sqref="D11:D22" showDropDown="0" showInputMessage="0" showErrorMessage="0" allowBlank="1" type="list">
      <formula1>"Diversified,Industrial,Residential,Healthcare,Office,Data Center,Retail (Net Lease),Retail (Mall),Specialty,Mortgage"</formula1>
    </dataValidation>
    <dataValidation sqref="K11:K22" showDropDown="0" showInputMessage="0" showErrorMessage="0" allowBlank="1" type="list">
      <formula1>"Brokerage Taxable,Roth IRA,Traditional IRA,401k,SEP IRA,HSA,529,Other"</formula1>
    </dataValidation>
  </dataValidations>
  <pageMargins left="0.7" right="0.7" top="0.75" bottom="0.75" header="0.3" footer="0.3"/>
  <pageSetup orientation="portrait" scale="100" fitToHeight="1" fitToWidth="1" horizontalDpi="4294967295" verticalDpi="4294967295"/>
</worksheet>
</file>

<file path=xl/worksheets/sheet13.xml><?xml version="1.0" encoding="utf-8"?>
<worksheet xmlns="http://schemas.openxmlformats.org/spreadsheetml/2006/main">
  <sheetPr>
    <tabColor rgb="FFC9A14A"/>
    <outlinePr summaryBelow="1" summaryRight="1"/>
    <pageSetUpPr/>
  </sheetPr>
  <dimension ref="A1:M51"/>
  <sheetViews>
    <sheetView workbookViewId="0">
      <pane ySplit="4" topLeftCell="A5" activePane="bottomLeft" state="frozen"/>
      <selection pane="bottomLeft" activeCell="A1" sqref="A1"/>
    </sheetView>
  </sheetViews>
  <sheetFormatPr baseColWidth="8" defaultRowHeight="15" outlineLevelRow="0"/>
  <cols>
    <col width="2" customWidth="1" min="1" max="1"/>
    <col width="10" customWidth="1" min="2" max="2"/>
    <col width="11" customWidth="1" min="4" max="7"/>
    <col width="12" customWidth="1" min="8" max="9"/>
    <col width="11" customWidth="1" min="10" max="11"/>
    <col width="10" customWidth="1" min="12" max="12"/>
    <col width="2" customWidth="1" min="13" max="13"/>
  </cols>
  <sheetData>
    <row r="1" ht="32" customHeight="1">
      <c r="A1" s="1" t="inlineStr">
        <is>
          <t xml:space="preserve">    Lime Premium Studios</t>
        </is>
      </c>
      <c r="D1" s="2" t="inlineStr">
        <is>
          <t>Investment Portfolio Tracker — Pro</t>
        </is>
      </c>
      <c r="J1" s="3" t="inlineStr">
        <is>
          <t>🎁 Options &amp; RSUs</t>
        </is>
      </c>
    </row>
    <row r="2" ht="54" customHeight="1">
      <c r="A2" s="4">
        <f>"GRANTS"&amp;CHAR(10)&amp;(COUNTA(B9:B22)+COUNTA(B27:B40))</f>
        <v/>
      </c>
      <c r="B2" s="91" t="n"/>
      <c r="C2" s="4">
        <f>"VESTED $"&amp;CHAR(10)&amp;(TEXT(SUM(I27:I40),"$#,##0"))</f>
        <v/>
      </c>
      <c r="D2" s="91" t="n"/>
      <c r="E2" s="4">
        <f>"UNVESTED $"&amp;CHAR(10)&amp;(TEXT(SUM(J27:J40),"$#,##0"))</f>
        <v/>
      </c>
      <c r="F2" s="91" t="n"/>
      <c r="G2" s="4">
        <f>"OPTIONS DELTA"&amp;CHAR(10)&amp;(TEXT(IFERROR(SUMPRODUCT(E9:E22,F9:F22),0),"$#,##0"))</f>
        <v/>
      </c>
      <c r="H2" s="91" t="n"/>
      <c r="I2" s="4">
        <f>"EXPIRING &lt;90d"&amp;CHAR(10)&amp;(COUNTIFS(H9:H22,"&lt;="&amp;(TODAY()+90),H9:H22,"&gt;="&amp;TODAY()))</f>
        <v/>
      </c>
      <c r="J2" s="91" t="n"/>
      <c r="K2" s="4">
        <f>"EMP CONC %"&amp;CHAR(10)&amp;(TEXT(IFERROR((SUM(I27:I40))/SUM('📊 Holdings Master'!J9:J68),0),"0.0%"))</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Equity comp tracker. Strike/expiry/delta for options. Vesting calendar for RSUs. Concentration alert ribbon when employer stock exceeds 10% of portfolio.</t>
        </is>
      </c>
    </row>
    <row r="6" ht="30" customHeight="1">
      <c r="B6" s="66">
        <f>IF((SUM(I27:I40))/MAX(1,SUM('📊 Holdings Master'!J9:J68))&gt;0.1,"🔴 EMPLOYER STOCK &gt;10% OF PORTFOLIO — concentration risk compounds with employment risk. Consider sell-on-vest policy.","✓ Employer stock concentration within healthy band (&lt;10% of portfolio)")</f>
        <v/>
      </c>
    </row>
    <row r="7" ht="26" customHeight="1">
      <c r="B7" s="7" t="inlineStr">
        <is>
          <t>Options grants</t>
        </is>
      </c>
    </row>
    <row r="8" ht="18" customHeight="1">
      <c r="B8" s="8" t="inlineStr">
        <is>
          <t>Calls + puts + warrants. Delta = $ change per $1 underlying move. Expiry watch in column H.</t>
        </is>
      </c>
    </row>
    <row r="9" ht="3" customHeight="1">
      <c r="B9" s="9" t="n"/>
    </row>
    <row r="11" ht="24" customHeight="1">
      <c r="B11" s="10" t="inlineStr">
        <is>
          <t>Ticker</t>
        </is>
      </c>
      <c r="C11" s="10" t="inlineStr">
        <is>
          <t>Type</t>
        </is>
      </c>
      <c r="D11" s="10" t="inlineStr">
        <is>
          <t>Strike</t>
        </is>
      </c>
      <c r="E11" s="10" t="inlineStr">
        <is>
          <t>Contracts</t>
        </is>
      </c>
      <c r="F11" s="10" t="inlineStr">
        <is>
          <t>Delta</t>
        </is>
      </c>
      <c r="G11" s="10" t="inlineStr">
        <is>
          <t>Cost basis</t>
        </is>
      </c>
      <c r="H11" s="10" t="inlineStr">
        <is>
          <t>Current $</t>
        </is>
      </c>
      <c r="I11" s="10" t="inlineStr">
        <is>
          <t>Expiry</t>
        </is>
      </c>
      <c r="J11" s="10" t="inlineStr">
        <is>
          <t>Days Left</t>
        </is>
      </c>
      <c r="K11" s="10" t="inlineStr">
        <is>
          <t>Gain/Loss</t>
        </is>
      </c>
      <c r="L11" s="11" t="inlineStr">
        <is>
          <t>Status</t>
        </is>
      </c>
    </row>
    <row r="12">
      <c r="B12" s="12" t="n"/>
      <c r="C12" s="42" t="n"/>
      <c r="D12" s="39" t="n"/>
      <c r="E12" s="39" t="n"/>
      <c r="F12" s="17" t="n"/>
      <c r="G12" s="17" t="n"/>
      <c r="H12" s="67" t="n"/>
      <c r="I12" s="68">
        <f>IFERROR(H12-TODAY(),"")</f>
        <v/>
      </c>
      <c r="J12" s="31">
        <f>IFERROR(G12-F12,"")</f>
        <v/>
      </c>
      <c r="K12" s="15">
        <f>IF(I12="","",IF(I12&lt;30,"⚠ Expiring",IF(I12&lt;90,"Watch","OK")))</f>
        <v/>
      </c>
    </row>
    <row r="13">
      <c r="B13" s="12" t="n"/>
      <c r="C13" s="42" t="n"/>
      <c r="D13" s="39" t="n"/>
      <c r="E13" s="39" t="n"/>
      <c r="F13" s="17" t="n"/>
      <c r="G13" s="17" t="n"/>
      <c r="H13" s="67" t="n"/>
      <c r="I13" s="68">
        <f>IFERROR(H13-TODAY(),"")</f>
        <v/>
      </c>
      <c r="J13" s="31">
        <f>IFERROR(G13-F13,"")</f>
        <v/>
      </c>
      <c r="K13" s="15">
        <f>IF(I13="","",IF(I13&lt;30,"⚠ Expiring",IF(I13&lt;90,"Watch","OK")))</f>
        <v/>
      </c>
    </row>
    <row r="14">
      <c r="B14" s="12" t="n"/>
      <c r="C14" s="42" t="n"/>
      <c r="D14" s="39" t="n"/>
      <c r="E14" s="39" t="n"/>
      <c r="F14" s="17" t="n"/>
      <c r="G14" s="17" t="n"/>
      <c r="H14" s="67" t="n"/>
      <c r="I14" s="68">
        <f>IFERROR(H14-TODAY(),"")</f>
        <v/>
      </c>
      <c r="J14" s="31">
        <f>IFERROR(G14-F14,"")</f>
        <v/>
      </c>
      <c r="K14" s="15">
        <f>IF(I14="","",IF(I14&lt;30,"⚠ Expiring",IF(I14&lt;90,"Watch","OK")))</f>
        <v/>
      </c>
    </row>
    <row r="15">
      <c r="B15" s="12" t="n"/>
      <c r="C15" s="42" t="n"/>
      <c r="D15" s="39" t="n"/>
      <c r="E15" s="39" t="n"/>
      <c r="F15" s="17" t="n"/>
      <c r="G15" s="17" t="n"/>
      <c r="H15" s="67" t="n"/>
      <c r="I15" s="68">
        <f>IFERROR(H15-TODAY(),"")</f>
        <v/>
      </c>
      <c r="J15" s="31">
        <f>IFERROR(G15-F15,"")</f>
        <v/>
      </c>
      <c r="K15" s="15">
        <f>IF(I15="","",IF(I15&lt;30,"⚠ Expiring",IF(I15&lt;90,"Watch","OK")))</f>
        <v/>
      </c>
    </row>
    <row r="16">
      <c r="B16" s="12" t="n"/>
      <c r="C16" s="42" t="n"/>
      <c r="D16" s="39" t="n"/>
      <c r="E16" s="39" t="n"/>
      <c r="F16" s="17" t="n"/>
      <c r="G16" s="17" t="n"/>
      <c r="H16" s="67" t="n"/>
      <c r="I16" s="68">
        <f>IFERROR(H16-TODAY(),"")</f>
        <v/>
      </c>
      <c r="J16" s="31">
        <f>IFERROR(G16-F16,"")</f>
        <v/>
      </c>
      <c r="K16" s="15">
        <f>IF(I16="","",IF(I16&lt;30,"⚠ Expiring",IF(I16&lt;90,"Watch","OK")))</f>
        <v/>
      </c>
    </row>
    <row r="17">
      <c r="B17" s="12" t="n"/>
      <c r="C17" s="42" t="n"/>
      <c r="D17" s="39" t="n"/>
      <c r="E17" s="39" t="n"/>
      <c r="F17" s="17" t="n"/>
      <c r="G17" s="17" t="n"/>
      <c r="H17" s="67" t="n"/>
      <c r="I17" s="68">
        <f>IFERROR(H17-TODAY(),"")</f>
        <v/>
      </c>
      <c r="J17" s="31">
        <f>IFERROR(G17-F17,"")</f>
        <v/>
      </c>
      <c r="K17" s="15">
        <f>IF(I17="","",IF(I17&lt;30,"⚠ Expiring",IF(I17&lt;90,"Watch","OK")))</f>
        <v/>
      </c>
    </row>
    <row r="18">
      <c r="B18" s="12" t="n"/>
      <c r="C18" s="42" t="n"/>
      <c r="D18" s="39" t="n"/>
      <c r="E18" s="39" t="n"/>
      <c r="F18" s="17" t="n"/>
      <c r="G18" s="17" t="n"/>
      <c r="H18" s="67" t="n"/>
      <c r="I18" s="68">
        <f>IFERROR(H18-TODAY(),"")</f>
        <v/>
      </c>
      <c r="J18" s="31">
        <f>IFERROR(G18-F18,"")</f>
        <v/>
      </c>
      <c r="K18" s="15">
        <f>IF(I18="","",IF(I18&lt;30,"⚠ Expiring",IF(I18&lt;90,"Watch","OK")))</f>
        <v/>
      </c>
    </row>
    <row r="19">
      <c r="B19" s="12" t="n"/>
      <c r="C19" s="42" t="n"/>
      <c r="D19" s="39" t="n"/>
      <c r="E19" s="39" t="n"/>
      <c r="F19" s="17" t="n"/>
      <c r="G19" s="17" t="n"/>
      <c r="H19" s="67" t="n"/>
      <c r="I19" s="68">
        <f>IFERROR(H19-TODAY(),"")</f>
        <v/>
      </c>
      <c r="J19" s="31">
        <f>IFERROR(G19-F19,"")</f>
        <v/>
      </c>
      <c r="K19" s="15">
        <f>IF(I19="","",IF(I19&lt;30,"⚠ Expiring",IF(I19&lt;90,"Watch","OK")))</f>
        <v/>
      </c>
    </row>
    <row r="20">
      <c r="B20" s="12" t="n"/>
      <c r="C20" s="42" t="n"/>
      <c r="D20" s="39" t="n"/>
      <c r="E20" s="39" t="n"/>
      <c r="F20" s="17" t="n"/>
      <c r="G20" s="17" t="n"/>
      <c r="H20" s="67" t="n"/>
      <c r="I20" s="68">
        <f>IFERROR(H20-TODAY(),"")</f>
        <v/>
      </c>
      <c r="J20" s="31">
        <f>IFERROR(G20-F20,"")</f>
        <v/>
      </c>
      <c r="K20" s="15">
        <f>IF(I20="","",IF(I20&lt;30,"⚠ Expiring",IF(I20&lt;90,"Watch","OK")))</f>
        <v/>
      </c>
    </row>
    <row r="21">
      <c r="B21" s="12" t="n"/>
      <c r="C21" s="42" t="n"/>
      <c r="D21" s="39" t="n"/>
      <c r="E21" s="39" t="n"/>
      <c r="F21" s="17" t="n"/>
      <c r="G21" s="17" t="n"/>
      <c r="H21" s="67" t="n"/>
      <c r="I21" s="68">
        <f>IFERROR(H21-TODAY(),"")</f>
        <v/>
      </c>
      <c r="J21" s="31">
        <f>IFERROR(G21-F21,"")</f>
        <v/>
      </c>
      <c r="K21" s="15">
        <f>IF(I21="","",IF(I21&lt;30,"⚠ Expiring",IF(I21&lt;90,"Watch","OK")))</f>
        <v/>
      </c>
    </row>
    <row r="22">
      <c r="B22" s="12" t="n"/>
      <c r="C22" s="42" t="n"/>
      <c r="D22" s="39" t="n"/>
      <c r="E22" s="39" t="n"/>
      <c r="F22" s="17" t="n"/>
      <c r="G22" s="17" t="n"/>
      <c r="H22" s="67" t="n"/>
      <c r="I22" s="68">
        <f>IFERROR(H22-TODAY(),"")</f>
        <v/>
      </c>
      <c r="J22" s="31">
        <f>IFERROR(G22-F22,"")</f>
        <v/>
      </c>
      <c r="K22" s="15">
        <f>IF(I22="","",IF(I22&lt;30,"⚠ Expiring",IF(I22&lt;90,"Watch","OK")))</f>
        <v/>
      </c>
    </row>
    <row r="23">
      <c r="B23" s="12" t="n"/>
      <c r="C23" s="42" t="n"/>
      <c r="D23" s="39" t="n"/>
      <c r="E23" s="39" t="n"/>
      <c r="F23" s="17" t="n"/>
      <c r="G23" s="17" t="n"/>
      <c r="H23" s="67" t="n"/>
      <c r="I23" s="68">
        <f>IFERROR(H23-TODAY(),"")</f>
        <v/>
      </c>
      <c r="J23" s="31">
        <f>IFERROR(G23-F23,"")</f>
        <v/>
      </c>
      <c r="K23" s="15">
        <f>IF(I23="","",IF(I23&lt;30,"⚠ Expiring",IF(I23&lt;90,"Watch","OK")))</f>
        <v/>
      </c>
    </row>
    <row r="24">
      <c r="B24" s="12" t="n"/>
      <c r="C24" s="42" t="n"/>
      <c r="D24" s="39" t="n"/>
      <c r="E24" s="39" t="n"/>
      <c r="F24" s="17" t="n"/>
      <c r="G24" s="17" t="n"/>
      <c r="H24" s="67" t="n"/>
      <c r="I24" s="68">
        <f>IFERROR(H24-TODAY(),"")</f>
        <v/>
      </c>
      <c r="J24" s="31">
        <f>IFERROR(G24-F24,"")</f>
        <v/>
      </c>
      <c r="K24" s="15">
        <f>IF(I24="","",IF(I24&lt;30,"⚠ Expiring",IF(I24&lt;90,"Watch","OK")))</f>
        <v/>
      </c>
    </row>
    <row r="25" ht="26" customHeight="1">
      <c r="B25" s="69" t="inlineStr">
        <is>
          <t>RSU + ESPP vesting calendar</t>
        </is>
      </c>
      <c r="C25" s="92" t="n"/>
      <c r="D25" s="92" t="n"/>
      <c r="E25" s="92" t="n"/>
      <c r="F25" s="92" t="n"/>
      <c r="G25" s="92" t="n"/>
      <c r="H25" s="92" t="n"/>
      <c r="I25" s="92" t="n"/>
      <c r="J25" s="92" t="n"/>
      <c r="K25" s="92" t="n"/>
      <c r="L25" s="91" t="n"/>
    </row>
    <row r="26" ht="18" customHeight="1">
      <c r="B26" s="8" t="inlineStr">
        <is>
          <t>Per-grant rows × per-vest-date columns. Vested becomes employer-stock concentration; unvested is future taxable income.</t>
        </is>
      </c>
    </row>
    <row r="27" ht="3" customHeight="1">
      <c r="B27" s="9" t="n"/>
    </row>
    <row r="29" ht="24" customHeight="1">
      <c r="B29" s="10" t="inlineStr">
        <is>
          <t>Ticker</t>
        </is>
      </c>
      <c r="C29" s="10" t="inlineStr">
        <is>
          <t>Type</t>
        </is>
      </c>
      <c r="D29" s="10" t="inlineStr">
        <is>
          <t>Grant Date</t>
        </is>
      </c>
      <c r="E29" s="10" t="inlineStr">
        <is>
          <t>Grant $</t>
        </is>
      </c>
      <c r="F29" s="10" t="inlineStr">
        <is>
          <t>Vest Schedule</t>
        </is>
      </c>
      <c r="G29" s="10" t="inlineStr">
        <is>
          <t>Next Vest</t>
        </is>
      </c>
      <c r="H29" s="10" t="inlineStr">
        <is>
          <t># Vested</t>
        </is>
      </c>
      <c r="I29" s="10" t="inlineStr">
        <is>
          <t>Vested $</t>
        </is>
      </c>
      <c r="J29" s="10" t="inlineStr">
        <is>
          <t>Unvested $</t>
        </is>
      </c>
      <c r="K29" s="10" t="inlineStr">
        <is>
          <t>Lockup End</t>
        </is>
      </c>
      <c r="L29" s="11" t="inlineStr">
        <is>
          <t>Sell Plan</t>
        </is>
      </c>
    </row>
    <row r="30">
      <c r="B30" s="12" t="inlineStr">
        <is>
          <t>TECH</t>
        </is>
      </c>
      <c r="C30" s="42" t="inlineStr">
        <is>
          <t>RSU</t>
        </is>
      </c>
      <c r="D30" s="28" t="n">
        <v>44972</v>
      </c>
      <c r="E30" s="17" t="n">
        <v>52000</v>
      </c>
      <c r="F30" s="41" t="inlineStr">
        <is>
          <t>4-yr cliff+vest</t>
        </is>
      </c>
      <c r="G30" s="58" t="n">
        <v>45703</v>
      </c>
      <c r="H30" s="65" t="n">
        <v>60</v>
      </c>
      <c r="I30" s="30" t="n">
        <v>6000</v>
      </c>
      <c r="J30" s="17" t="n">
        <v>39000</v>
      </c>
      <c r="K30" s="45" t="inlineStr"/>
      <c r="L30" s="41" t="inlineStr">
        <is>
          <t>Sell on vest</t>
        </is>
      </c>
    </row>
    <row r="31">
      <c r="B31" s="12" t="inlineStr">
        <is>
          <t>TECH</t>
        </is>
      </c>
      <c r="C31" s="42" t="inlineStr">
        <is>
          <t>ESPP</t>
        </is>
      </c>
      <c r="D31" s="28" t="n">
        <v>45139</v>
      </c>
      <c r="E31" s="17" t="n">
        <v>5000</v>
      </c>
      <c r="F31" s="41" t="inlineStr">
        <is>
          <t>6-mo offering</t>
        </is>
      </c>
      <c r="G31" s="58" t="n">
        <v>45689</v>
      </c>
      <c r="H31" s="65" t="n">
        <v>25</v>
      </c>
      <c r="I31" s="30" t="n">
        <v>2500</v>
      </c>
      <c r="J31" s="17" t="n">
        <v>0</v>
      </c>
      <c r="K31" s="45" t="inlineStr">
        <is>
          <t>N/A</t>
        </is>
      </c>
      <c r="L31" s="41" t="inlineStr">
        <is>
          <t>Sell at end of offering</t>
        </is>
      </c>
    </row>
    <row r="32">
      <c r="B32" s="12" t="n"/>
      <c r="C32" s="42" t="n"/>
      <c r="D32" s="28" t="n"/>
      <c r="E32" s="17" t="n"/>
      <c r="F32" s="41" t="n"/>
      <c r="G32" s="58" t="n"/>
      <c r="H32" s="65" t="n"/>
      <c r="I32" s="30" t="n"/>
      <c r="J32" s="17" t="n"/>
      <c r="K32" s="45" t="n"/>
      <c r="L32" s="41" t="n"/>
    </row>
    <row r="33">
      <c r="B33" s="12" t="n"/>
      <c r="C33" s="42" t="n"/>
      <c r="D33" s="28" t="n"/>
      <c r="E33" s="17" t="n"/>
      <c r="F33" s="41" t="n"/>
      <c r="G33" s="58" t="n"/>
      <c r="H33" s="65" t="n"/>
      <c r="I33" s="30" t="n"/>
      <c r="J33" s="17" t="n"/>
      <c r="K33" s="45" t="n"/>
      <c r="L33" s="41" t="n"/>
    </row>
    <row r="34">
      <c r="B34" s="12" t="n"/>
      <c r="C34" s="42" t="n"/>
      <c r="D34" s="28" t="n"/>
      <c r="E34" s="17" t="n"/>
      <c r="F34" s="41" t="n"/>
      <c r="G34" s="58" t="n"/>
      <c r="H34" s="65" t="n"/>
      <c r="I34" s="30" t="n"/>
      <c r="J34" s="17" t="n"/>
      <c r="K34" s="45" t="n"/>
      <c r="L34" s="41" t="n"/>
    </row>
    <row r="35">
      <c r="B35" s="12" t="n"/>
      <c r="C35" s="42" t="n"/>
      <c r="D35" s="28" t="n"/>
      <c r="E35" s="17" t="n"/>
      <c r="F35" s="41" t="n"/>
      <c r="G35" s="58" t="n"/>
      <c r="H35" s="65" t="n"/>
      <c r="I35" s="30" t="n"/>
      <c r="J35" s="17" t="n"/>
      <c r="K35" s="45" t="n"/>
      <c r="L35" s="41" t="n"/>
    </row>
    <row r="36">
      <c r="B36" s="12" t="n"/>
      <c r="C36" s="42" t="n"/>
      <c r="D36" s="28" t="n"/>
      <c r="E36" s="17" t="n"/>
      <c r="F36" s="41" t="n"/>
      <c r="G36" s="58" t="n"/>
      <c r="H36" s="65" t="n"/>
      <c r="I36" s="30" t="n"/>
      <c r="J36" s="17" t="n"/>
      <c r="K36" s="45" t="n"/>
      <c r="L36" s="41" t="n"/>
    </row>
    <row r="37">
      <c r="B37" s="12" t="n"/>
      <c r="C37" s="42" t="n"/>
      <c r="D37" s="28" t="n"/>
      <c r="E37" s="17" t="n"/>
      <c r="F37" s="41" t="n"/>
      <c r="G37" s="58" t="n"/>
      <c r="H37" s="65" t="n"/>
      <c r="I37" s="30" t="n"/>
      <c r="J37" s="17" t="n"/>
      <c r="K37" s="45" t="n"/>
      <c r="L37" s="41" t="n"/>
    </row>
    <row r="38">
      <c r="B38" s="12" t="n"/>
      <c r="C38" s="42" t="n"/>
      <c r="D38" s="28" t="n"/>
      <c r="E38" s="17" t="n"/>
      <c r="F38" s="41" t="n"/>
      <c r="G38" s="58" t="n"/>
      <c r="H38" s="65" t="n"/>
      <c r="I38" s="30" t="n"/>
      <c r="J38" s="17" t="n"/>
      <c r="K38" s="45" t="n"/>
      <c r="L38" s="41" t="n"/>
    </row>
    <row r="39">
      <c r="B39" s="12" t="n"/>
      <c r="C39" s="42" t="n"/>
      <c r="D39" s="28" t="n"/>
      <c r="E39" s="17" t="n"/>
      <c r="F39" s="41" t="n"/>
      <c r="G39" s="58" t="n"/>
      <c r="H39" s="65" t="n"/>
      <c r="I39" s="30" t="n"/>
      <c r="J39" s="17" t="n"/>
      <c r="K39" s="45" t="n"/>
      <c r="L39" s="41" t="n"/>
    </row>
    <row r="40">
      <c r="B40" s="12" t="n"/>
      <c r="C40" s="42" t="n"/>
      <c r="D40" s="28" t="n"/>
      <c r="E40" s="17" t="n"/>
      <c r="F40" s="41" t="n"/>
      <c r="G40" s="58" t="n"/>
      <c r="H40" s="65" t="n"/>
      <c r="I40" s="30" t="n"/>
      <c r="J40" s="17" t="n"/>
      <c r="K40" s="45" t="n"/>
      <c r="L40" s="41" t="n"/>
    </row>
    <row r="41">
      <c r="B41" s="12" t="n"/>
      <c r="C41" s="42" t="n"/>
      <c r="D41" s="28" t="n"/>
      <c r="E41" s="17" t="n"/>
      <c r="F41" s="41" t="n"/>
      <c r="G41" s="58" t="n"/>
      <c r="H41" s="65" t="n"/>
      <c r="I41" s="30" t="n"/>
      <c r="J41" s="17" t="n"/>
      <c r="K41" s="45" t="n"/>
      <c r="L41" s="41" t="n"/>
    </row>
    <row r="42">
      <c r="B42" s="12" t="n"/>
      <c r="C42" s="42" t="n"/>
      <c r="D42" s="28" t="n"/>
      <c r="E42" s="17" t="n"/>
      <c r="F42" s="41" t="n"/>
      <c r="G42" s="58" t="n"/>
      <c r="H42" s="65" t="n"/>
      <c r="I42" s="30" t="n"/>
      <c r="J42" s="17" t="n"/>
      <c r="K42" s="45" t="n"/>
      <c r="L42" s="41" t="n"/>
    </row>
    <row r="43">
      <c r="B43" s="12" t="n"/>
      <c r="C43" s="42" t="n"/>
      <c r="D43" s="28" t="n"/>
      <c r="E43" s="17" t="n"/>
      <c r="F43" s="41" t="n"/>
      <c r="G43" s="58" t="n"/>
      <c r="H43" s="65" t="n"/>
      <c r="I43" s="30" t="n"/>
      <c r="J43" s="17" t="n"/>
      <c r="K43" s="45" t="n"/>
      <c r="L43" s="41" t="n"/>
    </row>
    <row r="46" ht="32" customHeight="1">
      <c r="B46" s="22" t="inlineStr">
        <is>
          <t>🎯  Default policy: sell on vest
RSU compensation already gives you the employer-stock exposure. Holding past vest is voluntary additional concentration on top of compensation. The "wait for LTCG" temptation usually costs more than the LTCG tax differential (1 year of volatility risk on a single-name concentration). Concentration Risk Alerter (page 5) walks the math.</t>
        </is>
      </c>
      <c r="C46" s="93" t="n"/>
      <c r="D46" s="93" t="n"/>
      <c r="E46" s="93" t="n"/>
      <c r="F46" s="93" t="n"/>
      <c r="G46" s="93" t="n"/>
      <c r="H46" s="93" t="n"/>
      <c r="I46" s="93" t="n"/>
      <c r="J46" s="93" t="n"/>
      <c r="K46" s="93" t="n"/>
      <c r="L46" s="94" t="n"/>
    </row>
    <row r="47" ht="32" customHeight="1">
      <c r="B47" s="95" t="n"/>
      <c r="C47" s="96" t="n"/>
      <c r="D47" s="96" t="n"/>
      <c r="E47" s="96" t="n"/>
      <c r="F47" s="96" t="n"/>
      <c r="G47" s="96" t="n"/>
      <c r="H47" s="96" t="n"/>
      <c r="I47" s="96" t="n"/>
      <c r="J47" s="96" t="n"/>
      <c r="K47" s="96" t="n"/>
      <c r="L47" s="97" t="n"/>
    </row>
    <row r="50" ht="3" customHeight="1">
      <c r="A50" s="9" t="n"/>
    </row>
    <row r="51" ht="22" customHeight="1">
      <c r="A51" s="23" t="inlineStr">
        <is>
          <t>Lime Premium Studios  ·  Investment Portfolio Tracker Pro v1.0  ·  Privacy-first. No Plaid. No app.</t>
        </is>
      </c>
    </row>
  </sheetData>
  <mergeCells count="21">
    <mergeCell ref="B26:L26"/>
    <mergeCell ref="G2:H2"/>
    <mergeCell ref="I2:J2"/>
    <mergeCell ref="B7:L7"/>
    <mergeCell ref="B25:L25"/>
    <mergeCell ref="A4:M4"/>
    <mergeCell ref="B27:L27"/>
    <mergeCell ref="K2:M2"/>
    <mergeCell ref="A51:M51"/>
    <mergeCell ref="J1:M1"/>
    <mergeCell ref="B8:L8"/>
    <mergeCell ref="A2:B2"/>
    <mergeCell ref="C2:D2"/>
    <mergeCell ref="E2:F2"/>
    <mergeCell ref="B9:L9"/>
    <mergeCell ref="D1:I1"/>
    <mergeCell ref="B6:L6"/>
    <mergeCell ref="A1:C1"/>
    <mergeCell ref="B46:L47"/>
    <mergeCell ref="A50:M50"/>
    <mergeCell ref="A3:M3"/>
  </mergeCells>
  <conditionalFormatting sqref="B6:L6">
    <cfRule type="containsText" priority="1" dxfId="21">
      <formula>NOT(ISERROR(SEARCH("🔴",B6)))</formula>
    </cfRule>
    <cfRule type="containsText" priority="2" dxfId="22">
      <formula>NOT(ISERROR(SEARCH("✓",B6)))</formula>
    </cfRule>
  </conditionalFormatting>
  <dataValidations count="2">
    <dataValidation sqref="C12:C25" showDropDown="0" showInputMessage="0" showErrorMessage="0" allowBlank="1" type="list">
      <formula1>"Call,Put,Warrant"</formula1>
    </dataValidation>
    <dataValidation sqref="C30:C43" showDropDown="0" showInputMessage="0" showErrorMessage="0" allowBlank="1" type="list">
      <formula1>"RSU,ESPP,ISO,NSO"</formula1>
    </dataValidation>
  </dataValidations>
  <pageMargins left="0.7" right="0.7" top="0.75" bottom="0.75" header="0.3" footer="0.3"/>
  <pageSetup orientation="portrait" scale="100" fitToHeight="1" fitToWidth="1" horizontalDpi="4294967295" verticalDpi="4294967295"/>
</worksheet>
</file>

<file path=xl/worksheets/sheet14.xml><?xml version="1.0" encoding="utf-8"?>
<worksheet xmlns="http://schemas.openxmlformats.org/spreadsheetml/2006/main">
  <sheetPr>
    <tabColor rgb="FF1F2A33"/>
    <outlinePr summaryBelow="1" summaryRight="1"/>
    <pageSetUpPr/>
  </sheetPr>
  <dimension ref="A1:M24"/>
  <sheetViews>
    <sheetView workbookViewId="0">
      <pane ySplit="4" topLeftCell="A5" activePane="bottomLeft" state="frozen"/>
      <selection pane="bottomLeft" activeCell="A1" sqref="A1"/>
    </sheetView>
  </sheetViews>
  <sheetFormatPr baseColWidth="8" defaultRowHeight="15" outlineLevelRow="0"/>
  <cols>
    <col width="2" customWidth="1" min="1" max="1"/>
    <col width="16" customWidth="1" min="2" max="2"/>
    <col width="12" customWidth="1" min="3" max="12"/>
    <col width="2" customWidth="1" min="13" max="13"/>
  </cols>
  <sheetData>
    <row r="1" ht="32" customHeight="1">
      <c r="A1" s="1" t="inlineStr">
        <is>
          <t xml:space="preserve">    Lime Premium Studios</t>
        </is>
      </c>
      <c r="D1" s="2" t="inlineStr">
        <is>
          <t>Investment Portfolio Tracker — Pro</t>
        </is>
      </c>
      <c r="J1" s="3" t="inlineStr">
        <is>
          <t>📊 Performance &amp; Returns</t>
        </is>
      </c>
    </row>
    <row r="2" ht="54" customHeight="1">
      <c r="A2" s="4">
        <f>"1yr TWR"&amp;CHAR(10)&amp;(TEXT(IFERROR(C12,0),"+0.0%;-0.0%"))</f>
        <v/>
      </c>
      <c r="B2" s="91" t="n"/>
      <c r="C2" s="4">
        <f>"3yr CAGR"&amp;CHAR(10)&amp;(TEXT(IFERROR(D12,0),"+0.0%;-0.0%"))</f>
        <v/>
      </c>
      <c r="D2" s="91" t="n"/>
      <c r="E2" s="4">
        <f>"5yr CAGR"&amp;CHAR(10)&amp;(TEXT(IFERROR(E12,0),"+0.0%;-0.0%"))</f>
        <v/>
      </c>
      <c r="F2" s="91" t="n"/>
      <c r="G2" s="4">
        <f>"INCEPTION"&amp;CHAR(10)&amp;(TEXT(IFERROR(G12,0),"+0.0%;-0.0%"))</f>
        <v/>
      </c>
      <c r="H2" s="91" t="n"/>
      <c r="I2" s="38" t="inlineStr">
        <is>
          <t>BENCHMARK
S&amp;P 500</t>
        </is>
      </c>
      <c r="J2" s="91" t="n"/>
      <c r="K2" s="4">
        <f>"vs BENCH"&amp;CHAR(10)&amp;(TEXT(IFERROR(C12-C13,0),"+0.0%;-0.0%"))</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TWR vs benchmark + MWR table. CAGR over 1yr / 3yr / 5yr / 10yr / since-inception. Custom benchmark configurable.</t>
        </is>
      </c>
    </row>
    <row r="6" ht="26" customHeight="1">
      <c r="B6" s="7" t="inlineStr">
        <is>
          <t>Multi-horizon returns</t>
        </is>
      </c>
    </row>
    <row r="7" ht="18" customHeight="1">
      <c r="B7" s="8" t="inlineStr">
        <is>
          <t>TWR = Time-Weighted Return (compares vs index, ignores contribution timing). MWR = Money-Weighted Return (IRR, includes contributions).</t>
        </is>
      </c>
    </row>
    <row r="8" ht="3" customHeight="1">
      <c r="B8" s="9" t="n"/>
    </row>
    <row r="10" ht="24" customHeight="1">
      <c r="B10" s="10" t="inlineStr">
        <is>
          <t>Metric</t>
        </is>
      </c>
      <c r="C10" s="10" t="inlineStr">
        <is>
          <t>1 Yr</t>
        </is>
      </c>
      <c r="D10" s="10" t="inlineStr">
        <is>
          <t>3 Yr CAGR</t>
        </is>
      </c>
      <c r="E10" s="10" t="inlineStr">
        <is>
          <t>5 Yr CAGR</t>
        </is>
      </c>
      <c r="F10" s="10" t="inlineStr">
        <is>
          <t>10 Yr CAGR</t>
        </is>
      </c>
      <c r="G10" s="10" t="inlineStr">
        <is>
          <t>YTD</t>
        </is>
      </c>
      <c r="H10" s="10" t="inlineStr">
        <is>
          <t>Inception</t>
        </is>
      </c>
      <c r="I10" s="11" t="inlineStr">
        <is>
          <t>MWR (IRR)</t>
        </is>
      </c>
    </row>
    <row r="11">
      <c r="B11" s="70" t="inlineStr">
        <is>
          <t>Your Portfolio (TWR)</t>
        </is>
      </c>
      <c r="C11" s="20" t="n">
        <v>0.124</v>
      </c>
      <c r="D11" s="20" t="n">
        <v>0.08500000000000001</v>
      </c>
      <c r="E11" s="20" t="n">
        <v>0.092</v>
      </c>
      <c r="F11" s="20" t="n">
        <v>0.095</v>
      </c>
      <c r="G11" s="20" t="n">
        <v>0.08599999999999999</v>
      </c>
      <c r="H11" s="20" t="n">
        <v>0.108</v>
      </c>
      <c r="I11" s="20" t="n">
        <v>0.105</v>
      </c>
    </row>
    <row r="12">
      <c r="B12" s="71" t="inlineStr">
        <is>
          <t>S&amp;P 500 (benchmark)</t>
        </is>
      </c>
      <c r="C12" s="32" t="n">
        <v>0.108</v>
      </c>
      <c r="D12" s="32" t="n">
        <v>0.078</v>
      </c>
      <c r="E12" s="32" t="n">
        <v>0.105</v>
      </c>
      <c r="F12" s="32" t="n">
        <v>0.122</v>
      </c>
      <c r="G12" s="32" t="n">
        <v>0.08</v>
      </c>
      <c r="H12" s="32" t="n">
        <v>0.098</v>
      </c>
      <c r="I12" s="32" t="n"/>
    </row>
    <row r="13">
      <c r="B13" s="71" t="inlineStr">
        <is>
          <t>MSCI World</t>
        </is>
      </c>
      <c r="C13" s="32" t="n">
        <v>0.094</v>
      </c>
      <c r="D13" s="32" t="n">
        <v>0.07199999999999999</v>
      </c>
      <c r="E13" s="32" t="n">
        <v>0.08799999999999999</v>
      </c>
      <c r="F13" s="32" t="n">
        <v>0.095</v>
      </c>
      <c r="G13" s="32" t="n">
        <v>0.07099999999999999</v>
      </c>
      <c r="H13" s="32" t="n">
        <v>0.082</v>
      </c>
      <c r="I13" s="32" t="n"/>
    </row>
    <row r="14">
      <c r="B14" s="71" t="inlineStr">
        <is>
          <t>60/40 Stocks/Bonds</t>
        </is>
      </c>
      <c r="C14" s="32" t="n">
        <v>0.082</v>
      </c>
      <c r="D14" s="32" t="n">
        <v>0.058</v>
      </c>
      <c r="E14" s="32" t="n">
        <v>0.065</v>
      </c>
      <c r="F14" s="32" t="n">
        <v>0.07199999999999999</v>
      </c>
      <c r="G14" s="32" t="n">
        <v>0.061</v>
      </c>
      <c r="H14" s="32" t="n">
        <v>0.07099999999999999</v>
      </c>
      <c r="I14" s="32" t="n"/>
    </row>
    <row r="15">
      <c r="B15" s="72" t="inlineStr">
        <is>
          <t>Outperformance vs S&amp;P 500</t>
        </is>
      </c>
      <c r="C15" s="37">
        <f>C11-C12</f>
        <v/>
      </c>
      <c r="D15" s="37">
        <f>D11-D12</f>
        <v/>
      </c>
      <c r="E15" s="37">
        <f>E11-E12</f>
        <v/>
      </c>
      <c r="F15" s="37">
        <f>F11-F12</f>
        <v/>
      </c>
      <c r="G15" s="37">
        <f>G11-G12</f>
        <v/>
      </c>
      <c r="H15" s="37">
        <f>H11-H12</f>
        <v/>
      </c>
    </row>
    <row r="18" ht="32" customHeight="1">
      <c r="B18" s="22" t="inlineStr">
        <is>
          <t>📐  TWR vs MWR — they answer different questions
TWR strips out contribution timing — best for comparing investment SKILL against an index. MWR (IRR) includes contributions — best for "how did MY money actually grow?" If TWR &gt; MWR, you contributed during dips. If TWR &lt; MWR, you contributed during rallies. Both numbers are honest.</t>
        </is>
      </c>
      <c r="C18" s="93" t="n"/>
      <c r="D18" s="93" t="n"/>
      <c r="E18" s="93" t="n"/>
      <c r="F18" s="93" t="n"/>
      <c r="G18" s="93" t="n"/>
      <c r="H18" s="93" t="n"/>
      <c r="I18" s="93" t="n"/>
      <c r="J18" s="93" t="n"/>
      <c r="K18" s="93" t="n"/>
      <c r="L18" s="94" t="n"/>
    </row>
    <row r="19" ht="32" customHeight="1">
      <c r="B19" s="95" t="n"/>
      <c r="C19" s="96" t="n"/>
      <c r="D19" s="96" t="n"/>
      <c r="E19" s="96" t="n"/>
      <c r="F19" s="96" t="n"/>
      <c r="G19" s="96" t="n"/>
      <c r="H19" s="96" t="n"/>
      <c r="I19" s="96" t="n"/>
      <c r="J19" s="96" t="n"/>
      <c r="K19" s="96" t="n"/>
      <c r="L19" s="97" t="n"/>
    </row>
    <row r="23" ht="3" customHeight="1">
      <c r="A23" s="9" t="n"/>
    </row>
    <row r="24" ht="22" customHeight="1">
      <c r="A24" s="23" t="inlineStr">
        <is>
          <t>Lime Premium Studios  ·  Investment Portfolio Tracker Pro v1.0  ·  Privacy-first. No Plaid. No app.</t>
        </is>
      </c>
    </row>
  </sheetData>
  <mergeCells count="17">
    <mergeCell ref="B18:L19"/>
    <mergeCell ref="K2:M2"/>
    <mergeCell ref="A2:B2"/>
    <mergeCell ref="D1:I1"/>
    <mergeCell ref="C2:D2"/>
    <mergeCell ref="A1:C1"/>
    <mergeCell ref="G2:H2"/>
    <mergeCell ref="E2:F2"/>
    <mergeCell ref="B6:L6"/>
    <mergeCell ref="I2:J2"/>
    <mergeCell ref="B7:L7"/>
    <mergeCell ref="A23:M23"/>
    <mergeCell ref="A4:M4"/>
    <mergeCell ref="A3:M3"/>
    <mergeCell ref="A24:M24"/>
    <mergeCell ref="J1:M1"/>
    <mergeCell ref="B8:L8"/>
  </mergeCells>
  <pageMargins left="0.7" right="0.7" top="0.75" bottom="0.75" header="0.3" footer="0.3"/>
  <pageSetup orientation="portrait" scale="100" fitToHeight="1" fitToWidth="1" horizontalDpi="4294967295" verticalDpi="4294967295"/>
</worksheet>
</file>

<file path=xl/worksheets/sheet15.xml><?xml version="1.0" encoding="utf-8"?>
<worksheet xmlns="http://schemas.openxmlformats.org/spreadsheetml/2006/main">
  <sheetPr>
    <tabColor rgb="FF1F2A33"/>
    <outlinePr summaryBelow="1" summaryRight="1"/>
    <pageSetUpPr/>
  </sheetPr>
  <dimension ref="A1:M29"/>
  <sheetViews>
    <sheetView workbookViewId="0">
      <pane ySplit="4" topLeftCell="A5" activePane="bottomLeft" state="frozen"/>
      <selection pane="bottomLeft" activeCell="A1" sqref="A1"/>
    </sheetView>
  </sheetViews>
  <sheetFormatPr baseColWidth="8" defaultRowHeight="15" outlineLevelRow="0"/>
  <cols>
    <col width="2" customWidth="1" min="1" max="1"/>
    <col width="18" customWidth="1" min="2" max="2"/>
    <col width="14" customWidth="1" min="3" max="11"/>
    <col width="12" customWidth="1" min="12" max="12"/>
    <col width="2" customWidth="1" min="13" max="13"/>
  </cols>
  <sheetData>
    <row r="1" ht="32" customHeight="1">
      <c r="A1" s="1" t="inlineStr">
        <is>
          <t xml:space="preserve">    Lime Premium Studios</t>
        </is>
      </c>
      <c r="D1" s="2" t="inlineStr">
        <is>
          <t>Investment Portfolio Tracker — Pro</t>
        </is>
      </c>
      <c r="J1" s="3" t="inlineStr">
        <is>
          <t>📐 Risk Metrics</t>
        </is>
      </c>
    </row>
    <row r="2" ht="54" customHeight="1">
      <c r="A2" s="4">
        <f>"SHARPE"&amp;CHAR(10)&amp;(TEXT(IFERROR(C9,0),"0.00"))</f>
        <v/>
      </c>
      <c r="B2" s="91" t="n"/>
      <c r="C2" s="4">
        <f>"BETA"&amp;CHAR(10)&amp;(TEXT(IFERROR(C12,0),"0.00"))</f>
        <v/>
      </c>
      <c r="D2" s="91" t="n"/>
      <c r="E2" s="4">
        <f>"MAX DRAWDOWN"&amp;CHAR(10)&amp;(TEXT(IFERROR(C15,0),"0.0%"))</f>
        <v/>
      </c>
      <c r="F2" s="91" t="n"/>
      <c r="G2" s="4">
        <f>"ANN VOLATILITY"&amp;CHAR(10)&amp;(TEXT(IFERROR(C18,0),"0.0%"))</f>
        <v/>
      </c>
      <c r="H2" s="91" t="n"/>
      <c r="I2" s="38" t="inlineStr">
        <is>
          <t>BENCHMARK
S&amp;P 500</t>
        </is>
      </c>
      <c r="J2" s="91" t="n"/>
      <c r="K2" s="38" t="inlineStr">
        <is>
          <t>RISK-FREE
4.5% (10yr UST)</t>
        </is>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Sharpe / Beta / Max Drawdown / Volatility — the numbers Sharesight charges $96/year for. Computed from your monthly returns.</t>
        </is>
      </c>
    </row>
    <row r="6" ht="26" customHeight="1">
      <c r="B6" s="7" t="inlineStr">
        <is>
          <t>Four core risk metrics</t>
        </is>
      </c>
    </row>
    <row r="7" ht="18" customHeight="1">
      <c r="B7" s="8" t="inlineStr">
        <is>
          <t>Each card shows the metric + sector benchmark + plain-English interpretation.</t>
        </is>
      </c>
    </row>
    <row r="8" ht="3" customHeight="1">
      <c r="B8" s="9" t="n"/>
    </row>
    <row r="11" ht="22" customHeight="1">
      <c r="B11" s="72" t="inlineStr">
        <is>
          <t>Sharpe Ratio</t>
        </is>
      </c>
      <c r="G11" s="72" t="inlineStr">
        <is>
          <t>Beta</t>
        </is>
      </c>
    </row>
    <row r="12" ht="56" customHeight="1">
      <c r="B12" s="73" t="n">
        <v>1.18</v>
      </c>
      <c r="C12" s="96" t="n"/>
      <c r="D12" s="96" t="n"/>
      <c r="E12" s="96" t="n"/>
      <c r="F12" s="97" t="n"/>
      <c r="G12" s="73" t="n">
        <v>1.05</v>
      </c>
      <c r="H12" s="96" t="n"/>
      <c r="I12" s="96" t="n"/>
      <c r="J12" s="96" t="n"/>
      <c r="K12" s="97" t="n"/>
    </row>
    <row r="13">
      <c r="B13" s="74" t="inlineStr">
        <is>
          <t>Benchmark: S&amp;P 500 ~0.85</t>
        </is>
      </c>
      <c r="G13" s="74" t="inlineStr">
        <is>
          <t>Benchmark: 1.0 = matches market</t>
        </is>
      </c>
    </row>
    <row r="14" ht="36" customHeight="1">
      <c r="B14" s="75" t="inlineStr">
        <is>
          <t>&gt;1.0 = strong risk-adjusted return. &lt;0.5 = under-compensated for volatility.</t>
        </is>
      </c>
      <c r="G14" s="75" t="inlineStr">
        <is>
          <t>Your portfolio moves ~5% more than S&amp;P 500 on big swings. Elevated tech weighting.</t>
        </is>
      </c>
    </row>
    <row r="17" ht="22" customHeight="1">
      <c r="B17" s="72" t="inlineStr">
        <is>
          <t>Max Drawdown</t>
        </is>
      </c>
      <c r="G17" s="72" t="inlineStr">
        <is>
          <t>Annualized Vol</t>
        </is>
      </c>
    </row>
    <row r="18" ht="56" customHeight="1">
      <c r="B18" s="76" t="n">
        <v>-0.184</v>
      </c>
      <c r="C18" s="96" t="n"/>
      <c r="D18" s="96" t="n"/>
      <c r="E18" s="96" t="n"/>
      <c r="F18" s="97" t="n"/>
      <c r="G18" s="76" t="n">
        <v>0.145</v>
      </c>
      <c r="H18" s="96" t="n"/>
      <c r="I18" s="96" t="n"/>
      <c r="J18" s="96" t="n"/>
      <c r="K18" s="97" t="n"/>
    </row>
    <row r="19">
      <c r="B19" s="74" t="inlineStr">
        <is>
          <t>Benchmark: S&amp;P 2020: -34%; 2022: -25%</t>
        </is>
      </c>
      <c r="G19" s="74" t="inlineStr">
        <is>
          <t>Benchmark: S&amp;P 500 long-run ~0.16</t>
        </is>
      </c>
    </row>
    <row r="20" ht="36" customHeight="1">
      <c r="B20" s="75" t="inlineStr">
        <is>
          <t>Largest peak-to-trough loss in the period. -18.4% would scare some investors out.</t>
        </is>
      </c>
      <c r="G20" s="75" t="inlineStr">
        <is>
          <t>Std dev of monthly returns × √12. Slightly below market — diversification working.</t>
        </is>
      </c>
    </row>
    <row r="23" ht="32" customHeight="1">
      <c r="B23" s="22" t="inlineStr">
        <is>
          <t>📐  Real metrics, simple math
Sharpe = (portfolio return - risk-free rate) / std dev of returns. Beta = covariance vs benchmark / variance of benchmark. Max Drawdown = (trough - peak) / peak from your monthly NAV log. Volatility = stdev of monthly returns × sqrt(12). Same formulas Sharesight + Stock Rover use — we just show them in cells you can verify.</t>
        </is>
      </c>
      <c r="C23" s="93" t="n"/>
      <c r="D23" s="93" t="n"/>
      <c r="E23" s="93" t="n"/>
      <c r="F23" s="93" t="n"/>
      <c r="G23" s="93" t="n"/>
      <c r="H23" s="93" t="n"/>
      <c r="I23" s="93" t="n"/>
      <c r="J23" s="93" t="n"/>
      <c r="K23" s="93" t="n"/>
      <c r="L23" s="94" t="n"/>
    </row>
    <row r="24" ht="32" customHeight="1">
      <c r="B24" s="95" t="n"/>
      <c r="C24" s="96" t="n"/>
      <c r="D24" s="96" t="n"/>
      <c r="E24" s="96" t="n"/>
      <c r="F24" s="96" t="n"/>
      <c r="G24" s="96" t="n"/>
      <c r="H24" s="96" t="n"/>
      <c r="I24" s="96" t="n"/>
      <c r="J24" s="96" t="n"/>
      <c r="K24" s="96" t="n"/>
      <c r="L24" s="97" t="n"/>
    </row>
    <row r="28" ht="3" customHeight="1">
      <c r="A28" s="9" t="n"/>
    </row>
    <row r="29" ht="22" customHeight="1">
      <c r="A29" s="23" t="inlineStr">
        <is>
          <t>Lime Premium Studios  ·  Investment Portfolio Tracker Pro v1.0  ·  Privacy-first. No Plaid. No app.</t>
        </is>
      </c>
    </row>
  </sheetData>
  <mergeCells count="33">
    <mergeCell ref="G12:K12"/>
    <mergeCell ref="G2:H2"/>
    <mergeCell ref="I2:J2"/>
    <mergeCell ref="B7:L7"/>
    <mergeCell ref="A4:M4"/>
    <mergeCell ref="G11:K11"/>
    <mergeCell ref="A29:M29"/>
    <mergeCell ref="B18:F18"/>
    <mergeCell ref="A28:M28"/>
    <mergeCell ref="G17:K17"/>
    <mergeCell ref="B12:F12"/>
    <mergeCell ref="K2:M2"/>
    <mergeCell ref="B11:F11"/>
    <mergeCell ref="G13:K13"/>
    <mergeCell ref="G19:K19"/>
    <mergeCell ref="B14:F14"/>
    <mergeCell ref="B17:F17"/>
    <mergeCell ref="J1:M1"/>
    <mergeCell ref="B13:F13"/>
    <mergeCell ref="G18:K18"/>
    <mergeCell ref="B8:L8"/>
    <mergeCell ref="A2:B2"/>
    <mergeCell ref="C2:D2"/>
    <mergeCell ref="E2:F2"/>
    <mergeCell ref="B19:F19"/>
    <mergeCell ref="G14:K14"/>
    <mergeCell ref="D1:I1"/>
    <mergeCell ref="B6:L6"/>
    <mergeCell ref="A1:C1"/>
    <mergeCell ref="B20:F20"/>
    <mergeCell ref="G20:K20"/>
    <mergeCell ref="A3:M3"/>
    <mergeCell ref="B23:L24"/>
  </mergeCells>
  <pageMargins left="0.7" right="0.7" top="0.75" bottom="0.75" header="0.3" footer="0.3"/>
  <pageSetup orientation="portrait" scale="100" fitToHeight="1" fitToWidth="1" horizontalDpi="4294967295" verticalDpi="4294967295"/>
</worksheet>
</file>

<file path=xl/worksheets/sheet16.xml><?xml version="1.0" encoding="utf-8"?>
<worksheet xmlns="http://schemas.openxmlformats.org/spreadsheetml/2006/main">
  <sheetPr>
    <tabColor rgb="FFC9A14A"/>
    <outlinePr summaryBelow="1" summaryRight="1"/>
    <pageSetUpPr/>
  </sheetPr>
  <dimension ref="A1:M51"/>
  <sheetViews>
    <sheetView workbookViewId="0">
      <pane ySplit="4" topLeftCell="A5" activePane="bottomLeft" state="frozen"/>
      <selection pane="bottomLeft" activeCell="A1" sqref="A1"/>
    </sheetView>
  </sheetViews>
  <sheetFormatPr baseColWidth="8" defaultRowHeight="15" outlineLevelRow="0"/>
  <cols>
    <col width="2" customWidth="1" min="1" max="1"/>
    <col width="10" customWidth="1" min="2" max="2"/>
    <col width="11" customWidth="1" min="3" max="3"/>
    <col width="10" customWidth="1" min="4" max="4"/>
    <col width="11" customWidth="1" min="5" max="8"/>
    <col width="12" customWidth="1" min="9" max="9"/>
    <col width="11" customWidth="1" min="10" max="10"/>
    <col width="10" customWidth="1" min="11" max="11"/>
    <col width="14" customWidth="1" min="12" max="12"/>
    <col width="2" customWidth="1" min="13" max="13"/>
  </cols>
  <sheetData>
    <row r="1" ht="32" customHeight="1">
      <c r="A1" s="1" t="inlineStr">
        <is>
          <t xml:space="preserve">    Lime Premium Studios</t>
        </is>
      </c>
      <c r="D1" s="2" t="inlineStr">
        <is>
          <t>Investment Portfolio Tracker — Pro</t>
        </is>
      </c>
      <c r="J1" s="3" t="inlineStr">
        <is>
          <t>🧾 Tax Lot Tracker</t>
        </is>
      </c>
    </row>
    <row r="2" ht="54" customHeight="1">
      <c r="A2" s="4">
        <f>"LOTS"&amp;CHAR(10)&amp;(COUNTA(B9:B40))</f>
        <v/>
      </c>
      <c r="B2" s="91" t="n"/>
      <c r="C2" s="4">
        <f>"LONG-TERM"&amp;CHAR(10)&amp;(COUNTIF(K9:K40,"Long-term"))</f>
        <v/>
      </c>
      <c r="D2" s="91" t="n"/>
      <c r="E2" s="4">
        <f>"SHORT-TERM"&amp;CHAR(10)&amp;(COUNTIF(K9:K40,"Short-term"))</f>
        <v/>
      </c>
      <c r="F2" s="91" t="n"/>
      <c r="G2" s="4">
        <f>"UNREALIZED"&amp;CHAR(10)&amp;(TEXT(SUM(J9:J40),"+$#,##0;-$#,##0"))</f>
        <v/>
      </c>
      <c r="H2" s="91" t="n"/>
      <c r="I2" s="4">
        <f>"REGION"&amp;CHAR(10)&amp;(IFERROR(L8,"US"))</f>
        <v/>
      </c>
      <c r="J2" s="91" t="n"/>
      <c r="K2" s="38" t="inlineStr">
        <is>
          <t>METHOD
FIFO/LIFO/Spec</t>
        </is>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Per-lot cost basis. Short-term vs long-term color-coded. Region toggle (US/UK/EU/AU/CA — AI Edition only).</t>
        </is>
      </c>
    </row>
    <row r="6" ht="26" customHeight="1">
      <c r="B6" s="7" t="inlineStr">
        <is>
          <t>Per-lot cost basis log</t>
        </is>
      </c>
    </row>
    <row r="7" ht="18" customHeight="1">
      <c r="B7" s="8" t="inlineStr">
        <is>
          <t>Required for accurate cost basis on partial sells. FIFO = sell oldest lots first (default for most brokers); Spec = pick which lot.</t>
        </is>
      </c>
    </row>
    <row r="8" ht="3" customHeight="1">
      <c r="B8" s="9" t="n"/>
    </row>
    <row r="10" ht="24" customHeight="1">
      <c r="B10" s="10" t="inlineStr">
        <is>
          <t>Ticker</t>
        </is>
      </c>
      <c r="C10" s="10" t="inlineStr">
        <is>
          <t>Acquired</t>
        </is>
      </c>
      <c r="D10" s="10" t="inlineStr">
        <is>
          <t>Shares</t>
        </is>
      </c>
      <c r="E10" s="10" t="inlineStr">
        <is>
          <t>Cost/sh</t>
        </is>
      </c>
      <c r="F10" s="10" t="inlineStr">
        <is>
          <t>Cost Basis</t>
        </is>
      </c>
      <c r="G10" s="10" t="inlineStr">
        <is>
          <t>Curr Price</t>
        </is>
      </c>
      <c r="H10" s="10" t="inlineStr">
        <is>
          <t>Curr Value</t>
        </is>
      </c>
      <c r="I10" s="10" t="inlineStr">
        <is>
          <t>Holding</t>
        </is>
      </c>
      <c r="J10" s="10" t="inlineStr">
        <is>
          <t>Unrealized</t>
        </is>
      </c>
      <c r="K10" s="10" t="inlineStr">
        <is>
          <t>G/L Type</t>
        </is>
      </c>
      <c r="L10" s="10" t="inlineStr">
        <is>
          <t>Lot ID</t>
        </is>
      </c>
    </row>
    <row r="11">
      <c r="B11" s="12" t="inlineStr">
        <is>
          <t>VTI</t>
        </is>
      </c>
      <c r="C11" s="28" t="n">
        <v>45092</v>
      </c>
      <c r="D11" s="65" t="n">
        <v>150</v>
      </c>
      <c r="E11" s="27" t="n">
        <v>185.4</v>
      </c>
      <c r="F11" s="17">
        <f>IFERROR(D11*E11,"")</f>
        <v/>
      </c>
      <c r="G11" s="29" t="n">
        <v>245</v>
      </c>
      <c r="H11" s="30">
        <f>IFERROR(D11*G11,"")</f>
        <v/>
      </c>
      <c r="I11" s="77">
        <f>IFERROR(TODAY()-C11,"")</f>
        <v/>
      </c>
      <c r="J11" s="31">
        <f>IFERROR(H11-F11,"")</f>
        <v/>
      </c>
      <c r="K11" s="15">
        <f>IF(I11="","",IF(I11&gt;365,"Long-term","Short-term"))</f>
        <v/>
      </c>
      <c r="L11" s="60" t="n"/>
    </row>
    <row r="12">
      <c r="B12" s="12" t="inlineStr">
        <is>
          <t>VTI</t>
        </is>
      </c>
      <c r="C12" s="28" t="n">
        <v>45313</v>
      </c>
      <c r="D12" s="65" t="n">
        <v>100</v>
      </c>
      <c r="E12" s="27" t="n">
        <v>210</v>
      </c>
      <c r="F12" s="17">
        <f>IFERROR(D12*E12,"")</f>
        <v/>
      </c>
      <c r="G12" s="29" t="n">
        <v>245</v>
      </c>
      <c r="H12" s="30">
        <f>IFERROR(D12*G12,"")</f>
        <v/>
      </c>
      <c r="I12" s="77">
        <f>IFERROR(TODAY()-C12,"")</f>
        <v/>
      </c>
      <c r="J12" s="31">
        <f>IFERROR(H12-F12,"")</f>
        <v/>
      </c>
      <c r="K12" s="15">
        <f>IF(I12="","",IF(I12&gt;365,"Long-term","Short-term"))</f>
        <v/>
      </c>
      <c r="L12" s="60" t="n"/>
    </row>
    <row r="13">
      <c r="B13" s="12" t="inlineStr">
        <is>
          <t>VTI</t>
        </is>
      </c>
      <c r="C13" s="28" t="n">
        <v>45519</v>
      </c>
      <c r="D13" s="65" t="n">
        <v>100</v>
      </c>
      <c r="E13" s="27" t="n">
        <v>232</v>
      </c>
      <c r="F13" s="17">
        <f>IFERROR(D13*E13,"")</f>
        <v/>
      </c>
      <c r="G13" s="29" t="n">
        <v>245</v>
      </c>
      <c r="H13" s="30">
        <f>IFERROR(D13*G13,"")</f>
        <v/>
      </c>
      <c r="I13" s="77">
        <f>IFERROR(TODAY()-C13,"")</f>
        <v/>
      </c>
      <c r="J13" s="31">
        <f>IFERROR(H13-F13,"")</f>
        <v/>
      </c>
      <c r="K13" s="15">
        <f>IF(I13="","",IF(I13&gt;365,"Long-term","Short-term"))</f>
        <v/>
      </c>
      <c r="L13" s="60" t="n"/>
    </row>
    <row r="14">
      <c r="B14" s="12" t="inlineStr">
        <is>
          <t>AAPL</t>
        </is>
      </c>
      <c r="C14" s="28" t="n">
        <v>44870</v>
      </c>
      <c r="D14" s="65" t="n">
        <v>80</v>
      </c>
      <c r="E14" s="27" t="n">
        <v>128</v>
      </c>
      <c r="F14" s="17">
        <f>IFERROR(D14*E14,"")</f>
        <v/>
      </c>
      <c r="G14" s="29" t="n">
        <v>182</v>
      </c>
      <c r="H14" s="30">
        <f>IFERROR(D14*G14,"")</f>
        <v/>
      </c>
      <c r="I14" s="77">
        <f>IFERROR(TODAY()-C14,"")</f>
        <v/>
      </c>
      <c r="J14" s="31">
        <f>IFERROR(H14-F14,"")</f>
        <v/>
      </c>
      <c r="K14" s="15">
        <f>IF(I14="","",IF(I14&gt;365,"Long-term","Short-term"))</f>
        <v/>
      </c>
      <c r="L14" s="60" t="n"/>
    </row>
    <row r="15">
      <c r="B15" s="12" t="inlineStr">
        <is>
          <t>GOOGL</t>
        </is>
      </c>
      <c r="C15" s="28" t="n">
        <v>44995</v>
      </c>
      <c r="D15" s="65" t="n">
        <v>70</v>
      </c>
      <c r="E15" s="27" t="n">
        <v>105.5</v>
      </c>
      <c r="F15" s="17">
        <f>IFERROR(D15*E15,"")</f>
        <v/>
      </c>
      <c r="G15" s="29" t="n">
        <v>148</v>
      </c>
      <c r="H15" s="30">
        <f>IFERROR(D15*G15,"")</f>
        <v/>
      </c>
      <c r="I15" s="77">
        <f>IFERROR(TODAY()-C15,"")</f>
        <v/>
      </c>
      <c r="J15" s="31">
        <f>IFERROR(H15-F15,"")</f>
        <v/>
      </c>
      <c r="K15" s="15">
        <f>IF(I15="","",IF(I15&gt;365,"Long-term","Short-term"))</f>
        <v/>
      </c>
      <c r="L15" s="60" t="n"/>
    </row>
    <row r="16">
      <c r="B16" s="12" t="n"/>
      <c r="C16" s="28" t="n"/>
      <c r="D16" s="65" t="n"/>
      <c r="E16" s="27" t="n"/>
      <c r="F16" s="17">
        <f>IFERROR(D16*E16,"")</f>
        <v/>
      </c>
      <c r="G16" s="29" t="n"/>
      <c r="H16" s="30">
        <f>IFERROR(D16*G16,"")</f>
        <v/>
      </c>
      <c r="I16" s="77">
        <f>IFERROR(TODAY()-C16,"")</f>
        <v/>
      </c>
      <c r="J16" s="31">
        <f>IFERROR(H16-F16,"")</f>
        <v/>
      </c>
      <c r="K16" s="15">
        <f>IF(I16="","",IF(I16&gt;365,"Long-term","Short-term"))</f>
        <v/>
      </c>
      <c r="L16" s="60" t="n"/>
    </row>
    <row r="17">
      <c r="B17" s="12" t="n"/>
      <c r="C17" s="28" t="n"/>
      <c r="D17" s="65" t="n"/>
      <c r="E17" s="27" t="n"/>
      <c r="F17" s="17">
        <f>IFERROR(D17*E17,"")</f>
        <v/>
      </c>
      <c r="G17" s="29" t="n"/>
      <c r="H17" s="30">
        <f>IFERROR(D17*G17,"")</f>
        <v/>
      </c>
      <c r="I17" s="77">
        <f>IFERROR(TODAY()-C17,"")</f>
        <v/>
      </c>
      <c r="J17" s="31">
        <f>IFERROR(H17-F17,"")</f>
        <v/>
      </c>
      <c r="K17" s="15">
        <f>IF(I17="","",IF(I17&gt;365,"Long-term","Short-term"))</f>
        <v/>
      </c>
      <c r="L17" s="60" t="n"/>
    </row>
    <row r="18">
      <c r="B18" s="12" t="n"/>
      <c r="C18" s="28" t="n"/>
      <c r="D18" s="65" t="n"/>
      <c r="E18" s="27" t="n"/>
      <c r="F18" s="17">
        <f>IFERROR(D18*E18,"")</f>
        <v/>
      </c>
      <c r="G18" s="29" t="n"/>
      <c r="H18" s="30">
        <f>IFERROR(D18*G18,"")</f>
        <v/>
      </c>
      <c r="I18" s="77">
        <f>IFERROR(TODAY()-C18,"")</f>
        <v/>
      </c>
      <c r="J18" s="31">
        <f>IFERROR(H18-F18,"")</f>
        <v/>
      </c>
      <c r="K18" s="15">
        <f>IF(I18="","",IF(I18&gt;365,"Long-term","Short-term"))</f>
        <v/>
      </c>
      <c r="L18" s="60" t="n"/>
    </row>
    <row r="19">
      <c r="B19" s="12" t="n"/>
      <c r="C19" s="28" t="n"/>
      <c r="D19" s="65" t="n"/>
      <c r="E19" s="27" t="n"/>
      <c r="F19" s="17">
        <f>IFERROR(D19*E19,"")</f>
        <v/>
      </c>
      <c r="G19" s="29" t="n"/>
      <c r="H19" s="30">
        <f>IFERROR(D19*G19,"")</f>
        <v/>
      </c>
      <c r="I19" s="77">
        <f>IFERROR(TODAY()-C19,"")</f>
        <v/>
      </c>
      <c r="J19" s="31">
        <f>IFERROR(H19-F19,"")</f>
        <v/>
      </c>
      <c r="K19" s="15">
        <f>IF(I19="","",IF(I19&gt;365,"Long-term","Short-term"))</f>
        <v/>
      </c>
      <c r="L19" s="60" t="n"/>
    </row>
    <row r="20">
      <c r="B20" s="12" t="n"/>
      <c r="C20" s="28" t="n"/>
      <c r="D20" s="65" t="n"/>
      <c r="E20" s="27" t="n"/>
      <c r="F20" s="17">
        <f>IFERROR(D20*E20,"")</f>
        <v/>
      </c>
      <c r="G20" s="29" t="n"/>
      <c r="H20" s="30">
        <f>IFERROR(D20*G20,"")</f>
        <v/>
      </c>
      <c r="I20" s="77">
        <f>IFERROR(TODAY()-C20,"")</f>
        <v/>
      </c>
      <c r="J20" s="31">
        <f>IFERROR(H20-F20,"")</f>
        <v/>
      </c>
      <c r="K20" s="15">
        <f>IF(I20="","",IF(I20&gt;365,"Long-term","Short-term"))</f>
        <v/>
      </c>
      <c r="L20" s="60" t="n"/>
    </row>
    <row r="21">
      <c r="B21" s="12" t="n"/>
      <c r="C21" s="28" t="n"/>
      <c r="D21" s="65" t="n"/>
      <c r="E21" s="27" t="n"/>
      <c r="F21" s="17">
        <f>IFERROR(D21*E21,"")</f>
        <v/>
      </c>
      <c r="G21" s="29" t="n"/>
      <c r="H21" s="30">
        <f>IFERROR(D21*G21,"")</f>
        <v/>
      </c>
      <c r="I21" s="77">
        <f>IFERROR(TODAY()-C21,"")</f>
        <v/>
      </c>
      <c r="J21" s="31">
        <f>IFERROR(H21-F21,"")</f>
        <v/>
      </c>
      <c r="K21" s="15">
        <f>IF(I21="","",IF(I21&gt;365,"Long-term","Short-term"))</f>
        <v/>
      </c>
      <c r="L21" s="60" t="n"/>
    </row>
    <row r="22">
      <c r="B22" s="12" t="n"/>
      <c r="C22" s="28" t="n"/>
      <c r="D22" s="65" t="n"/>
      <c r="E22" s="27" t="n"/>
      <c r="F22" s="17">
        <f>IFERROR(D22*E22,"")</f>
        <v/>
      </c>
      <c r="G22" s="29" t="n"/>
      <c r="H22" s="30">
        <f>IFERROR(D22*G22,"")</f>
        <v/>
      </c>
      <c r="I22" s="77">
        <f>IFERROR(TODAY()-C22,"")</f>
        <v/>
      </c>
      <c r="J22" s="31">
        <f>IFERROR(H22-F22,"")</f>
        <v/>
      </c>
      <c r="K22" s="15">
        <f>IF(I22="","",IF(I22&gt;365,"Long-term","Short-term"))</f>
        <v/>
      </c>
      <c r="L22" s="60" t="n"/>
    </row>
    <row r="23">
      <c r="B23" s="12" t="n"/>
      <c r="C23" s="28" t="n"/>
      <c r="D23" s="65" t="n"/>
      <c r="E23" s="27" t="n"/>
      <c r="F23" s="17">
        <f>IFERROR(D23*E23,"")</f>
        <v/>
      </c>
      <c r="G23" s="29" t="n"/>
      <c r="H23" s="30">
        <f>IFERROR(D23*G23,"")</f>
        <v/>
      </c>
      <c r="I23" s="77">
        <f>IFERROR(TODAY()-C23,"")</f>
        <v/>
      </c>
      <c r="J23" s="31">
        <f>IFERROR(H23-F23,"")</f>
        <v/>
      </c>
      <c r="K23" s="15">
        <f>IF(I23="","",IF(I23&gt;365,"Long-term","Short-term"))</f>
        <v/>
      </c>
      <c r="L23" s="60" t="n"/>
    </row>
    <row r="24">
      <c r="B24" s="12" t="n"/>
      <c r="C24" s="28" t="n"/>
      <c r="D24" s="65" t="n"/>
      <c r="E24" s="27" t="n"/>
      <c r="F24" s="17">
        <f>IFERROR(D24*E24,"")</f>
        <v/>
      </c>
      <c r="G24" s="29" t="n"/>
      <c r="H24" s="30">
        <f>IFERROR(D24*G24,"")</f>
        <v/>
      </c>
      <c r="I24" s="77">
        <f>IFERROR(TODAY()-C24,"")</f>
        <v/>
      </c>
      <c r="J24" s="31">
        <f>IFERROR(H24-F24,"")</f>
        <v/>
      </c>
      <c r="K24" s="15">
        <f>IF(I24="","",IF(I24&gt;365,"Long-term","Short-term"))</f>
        <v/>
      </c>
      <c r="L24" s="60" t="n"/>
    </row>
    <row r="25">
      <c r="B25" s="12" t="n"/>
      <c r="C25" s="28" t="n"/>
      <c r="D25" s="65" t="n"/>
      <c r="E25" s="27" t="n"/>
      <c r="F25" s="17">
        <f>IFERROR(D25*E25,"")</f>
        <v/>
      </c>
      <c r="G25" s="29" t="n"/>
      <c r="H25" s="30">
        <f>IFERROR(D25*G25,"")</f>
        <v/>
      </c>
      <c r="I25" s="77">
        <f>IFERROR(TODAY()-C25,"")</f>
        <v/>
      </c>
      <c r="J25" s="31">
        <f>IFERROR(H25-F25,"")</f>
        <v/>
      </c>
      <c r="K25" s="15">
        <f>IF(I25="","",IF(I25&gt;365,"Long-term","Short-term"))</f>
        <v/>
      </c>
      <c r="L25" s="60" t="n"/>
    </row>
    <row r="26">
      <c r="B26" s="12" t="n"/>
      <c r="C26" s="28" t="n"/>
      <c r="D26" s="65" t="n"/>
      <c r="E26" s="27" t="n"/>
      <c r="F26" s="17">
        <f>IFERROR(D26*E26,"")</f>
        <v/>
      </c>
      <c r="G26" s="29" t="n"/>
      <c r="H26" s="30">
        <f>IFERROR(D26*G26,"")</f>
        <v/>
      </c>
      <c r="I26" s="77">
        <f>IFERROR(TODAY()-C26,"")</f>
        <v/>
      </c>
      <c r="J26" s="31">
        <f>IFERROR(H26-F26,"")</f>
        <v/>
      </c>
      <c r="K26" s="15">
        <f>IF(I26="","",IF(I26&gt;365,"Long-term","Short-term"))</f>
        <v/>
      </c>
      <c r="L26" s="60" t="n"/>
    </row>
    <row r="27">
      <c r="B27" s="12" t="n"/>
      <c r="C27" s="28" t="n"/>
      <c r="D27" s="65" t="n"/>
      <c r="E27" s="27" t="n"/>
      <c r="F27" s="17">
        <f>IFERROR(D27*E27,"")</f>
        <v/>
      </c>
      <c r="G27" s="29" t="n"/>
      <c r="H27" s="30">
        <f>IFERROR(D27*G27,"")</f>
        <v/>
      </c>
      <c r="I27" s="77">
        <f>IFERROR(TODAY()-C27,"")</f>
        <v/>
      </c>
      <c r="J27" s="31">
        <f>IFERROR(H27-F27,"")</f>
        <v/>
      </c>
      <c r="K27" s="15">
        <f>IF(I27="","",IF(I27&gt;365,"Long-term","Short-term"))</f>
        <v/>
      </c>
      <c r="L27" s="60" t="n"/>
    </row>
    <row r="28">
      <c r="B28" s="12" t="n"/>
      <c r="C28" s="28" t="n"/>
      <c r="D28" s="65" t="n"/>
      <c r="E28" s="27" t="n"/>
      <c r="F28" s="17">
        <f>IFERROR(D28*E28,"")</f>
        <v/>
      </c>
      <c r="G28" s="29" t="n"/>
      <c r="H28" s="30">
        <f>IFERROR(D28*G28,"")</f>
        <v/>
      </c>
      <c r="I28" s="77">
        <f>IFERROR(TODAY()-C28,"")</f>
        <v/>
      </c>
      <c r="J28" s="31">
        <f>IFERROR(H28-F28,"")</f>
        <v/>
      </c>
      <c r="K28" s="15">
        <f>IF(I28="","",IF(I28&gt;365,"Long-term","Short-term"))</f>
        <v/>
      </c>
      <c r="L28" s="60" t="n"/>
    </row>
    <row r="29">
      <c r="B29" s="12" t="n"/>
      <c r="C29" s="28" t="n"/>
      <c r="D29" s="65" t="n"/>
      <c r="E29" s="27" t="n"/>
      <c r="F29" s="17">
        <f>IFERROR(D29*E29,"")</f>
        <v/>
      </c>
      <c r="G29" s="29" t="n"/>
      <c r="H29" s="30">
        <f>IFERROR(D29*G29,"")</f>
        <v/>
      </c>
      <c r="I29" s="77">
        <f>IFERROR(TODAY()-C29,"")</f>
        <v/>
      </c>
      <c r="J29" s="31">
        <f>IFERROR(H29-F29,"")</f>
        <v/>
      </c>
      <c r="K29" s="15">
        <f>IF(I29="","",IF(I29&gt;365,"Long-term","Short-term"))</f>
        <v/>
      </c>
      <c r="L29" s="60" t="n"/>
    </row>
    <row r="30">
      <c r="B30" s="12" t="n"/>
      <c r="C30" s="28" t="n"/>
      <c r="D30" s="65" t="n"/>
      <c r="E30" s="27" t="n"/>
      <c r="F30" s="17">
        <f>IFERROR(D30*E30,"")</f>
        <v/>
      </c>
      <c r="G30" s="29" t="n"/>
      <c r="H30" s="30">
        <f>IFERROR(D30*G30,"")</f>
        <v/>
      </c>
      <c r="I30" s="77">
        <f>IFERROR(TODAY()-C30,"")</f>
        <v/>
      </c>
      <c r="J30" s="31">
        <f>IFERROR(H30-F30,"")</f>
        <v/>
      </c>
      <c r="K30" s="15">
        <f>IF(I30="","",IF(I30&gt;365,"Long-term","Short-term"))</f>
        <v/>
      </c>
      <c r="L30" s="60" t="n"/>
    </row>
    <row r="31">
      <c r="B31" s="12" t="n"/>
      <c r="C31" s="28" t="n"/>
      <c r="D31" s="65" t="n"/>
      <c r="E31" s="27" t="n"/>
      <c r="F31" s="17">
        <f>IFERROR(D31*E31,"")</f>
        <v/>
      </c>
      <c r="G31" s="29" t="n"/>
      <c r="H31" s="30">
        <f>IFERROR(D31*G31,"")</f>
        <v/>
      </c>
      <c r="I31" s="77">
        <f>IFERROR(TODAY()-C31,"")</f>
        <v/>
      </c>
      <c r="J31" s="31">
        <f>IFERROR(H31-F31,"")</f>
        <v/>
      </c>
      <c r="K31" s="15">
        <f>IF(I31="","",IF(I31&gt;365,"Long-term","Short-term"))</f>
        <v/>
      </c>
      <c r="L31" s="60" t="n"/>
    </row>
    <row r="32">
      <c r="B32" s="12" t="n"/>
      <c r="C32" s="28" t="n"/>
      <c r="D32" s="65" t="n"/>
      <c r="E32" s="27" t="n"/>
      <c r="F32" s="17">
        <f>IFERROR(D32*E32,"")</f>
        <v/>
      </c>
      <c r="G32" s="29" t="n"/>
      <c r="H32" s="30">
        <f>IFERROR(D32*G32,"")</f>
        <v/>
      </c>
      <c r="I32" s="77">
        <f>IFERROR(TODAY()-C32,"")</f>
        <v/>
      </c>
      <c r="J32" s="31">
        <f>IFERROR(H32-F32,"")</f>
        <v/>
      </c>
      <c r="K32" s="15">
        <f>IF(I32="","",IF(I32&gt;365,"Long-term","Short-term"))</f>
        <v/>
      </c>
      <c r="L32" s="60" t="n"/>
    </row>
    <row r="33">
      <c r="B33" s="12" t="n"/>
      <c r="C33" s="28" t="n"/>
      <c r="D33" s="65" t="n"/>
      <c r="E33" s="27" t="n"/>
      <c r="F33" s="17">
        <f>IFERROR(D33*E33,"")</f>
        <v/>
      </c>
      <c r="G33" s="29" t="n"/>
      <c r="H33" s="30">
        <f>IFERROR(D33*G33,"")</f>
        <v/>
      </c>
      <c r="I33" s="77">
        <f>IFERROR(TODAY()-C33,"")</f>
        <v/>
      </c>
      <c r="J33" s="31">
        <f>IFERROR(H33-F33,"")</f>
        <v/>
      </c>
      <c r="K33" s="15">
        <f>IF(I33="","",IF(I33&gt;365,"Long-term","Short-term"))</f>
        <v/>
      </c>
      <c r="L33" s="60" t="n"/>
    </row>
    <row r="34">
      <c r="B34" s="12" t="n"/>
      <c r="C34" s="28" t="n"/>
      <c r="D34" s="65" t="n"/>
      <c r="E34" s="27" t="n"/>
      <c r="F34" s="17">
        <f>IFERROR(D34*E34,"")</f>
        <v/>
      </c>
      <c r="G34" s="29" t="n"/>
      <c r="H34" s="30">
        <f>IFERROR(D34*G34,"")</f>
        <v/>
      </c>
      <c r="I34" s="77">
        <f>IFERROR(TODAY()-C34,"")</f>
        <v/>
      </c>
      <c r="J34" s="31">
        <f>IFERROR(H34-F34,"")</f>
        <v/>
      </c>
      <c r="K34" s="15">
        <f>IF(I34="","",IF(I34&gt;365,"Long-term","Short-term"))</f>
        <v/>
      </c>
      <c r="L34" s="60" t="n"/>
    </row>
    <row r="35">
      <c r="B35" s="12" t="n"/>
      <c r="C35" s="28" t="n"/>
      <c r="D35" s="65" t="n"/>
      <c r="E35" s="27" t="n"/>
      <c r="F35" s="17">
        <f>IFERROR(D35*E35,"")</f>
        <v/>
      </c>
      <c r="G35" s="29" t="n"/>
      <c r="H35" s="30">
        <f>IFERROR(D35*G35,"")</f>
        <v/>
      </c>
      <c r="I35" s="77">
        <f>IFERROR(TODAY()-C35,"")</f>
        <v/>
      </c>
      <c r="J35" s="31">
        <f>IFERROR(H35-F35,"")</f>
        <v/>
      </c>
      <c r="K35" s="15">
        <f>IF(I35="","",IF(I35&gt;365,"Long-term","Short-term"))</f>
        <v/>
      </c>
      <c r="L35" s="60" t="n"/>
    </row>
    <row r="36">
      <c r="B36" s="12" t="n"/>
      <c r="C36" s="28" t="n"/>
      <c r="D36" s="65" t="n"/>
      <c r="E36" s="27" t="n"/>
      <c r="F36" s="17">
        <f>IFERROR(D36*E36,"")</f>
        <v/>
      </c>
      <c r="G36" s="29" t="n"/>
      <c r="H36" s="30">
        <f>IFERROR(D36*G36,"")</f>
        <v/>
      </c>
      <c r="I36" s="77">
        <f>IFERROR(TODAY()-C36,"")</f>
        <v/>
      </c>
      <c r="J36" s="31">
        <f>IFERROR(H36-F36,"")</f>
        <v/>
      </c>
      <c r="K36" s="15">
        <f>IF(I36="","",IF(I36&gt;365,"Long-term","Short-term"))</f>
        <v/>
      </c>
      <c r="L36" s="60" t="n"/>
    </row>
    <row r="37">
      <c r="B37" s="12" t="n"/>
      <c r="C37" s="28" t="n"/>
      <c r="D37" s="65" t="n"/>
      <c r="E37" s="27" t="n"/>
      <c r="F37" s="17">
        <f>IFERROR(D37*E37,"")</f>
        <v/>
      </c>
      <c r="G37" s="29" t="n"/>
      <c r="H37" s="30">
        <f>IFERROR(D37*G37,"")</f>
        <v/>
      </c>
      <c r="I37" s="77">
        <f>IFERROR(TODAY()-C37,"")</f>
        <v/>
      </c>
      <c r="J37" s="31">
        <f>IFERROR(H37-F37,"")</f>
        <v/>
      </c>
      <c r="K37" s="15">
        <f>IF(I37="","",IF(I37&gt;365,"Long-term","Short-term"))</f>
        <v/>
      </c>
      <c r="L37" s="60" t="n"/>
    </row>
    <row r="38">
      <c r="B38" s="12" t="n"/>
      <c r="C38" s="28" t="n"/>
      <c r="D38" s="65" t="n"/>
      <c r="E38" s="27" t="n"/>
      <c r="F38" s="17">
        <f>IFERROR(D38*E38,"")</f>
        <v/>
      </c>
      <c r="G38" s="29" t="n"/>
      <c r="H38" s="30">
        <f>IFERROR(D38*G38,"")</f>
        <v/>
      </c>
      <c r="I38" s="77">
        <f>IFERROR(TODAY()-C38,"")</f>
        <v/>
      </c>
      <c r="J38" s="31">
        <f>IFERROR(H38-F38,"")</f>
        <v/>
      </c>
      <c r="K38" s="15">
        <f>IF(I38="","",IF(I38&gt;365,"Long-term","Short-term"))</f>
        <v/>
      </c>
      <c r="L38" s="60" t="n"/>
    </row>
    <row r="39">
      <c r="B39" s="12" t="n"/>
      <c r="C39" s="28" t="n"/>
      <c r="D39" s="65" t="n"/>
      <c r="E39" s="27" t="n"/>
      <c r="F39" s="17">
        <f>IFERROR(D39*E39,"")</f>
        <v/>
      </c>
      <c r="G39" s="29" t="n"/>
      <c r="H39" s="30">
        <f>IFERROR(D39*G39,"")</f>
        <v/>
      </c>
      <c r="I39" s="77">
        <f>IFERROR(TODAY()-C39,"")</f>
        <v/>
      </c>
      <c r="J39" s="31">
        <f>IFERROR(H39-F39,"")</f>
        <v/>
      </c>
      <c r="K39" s="15">
        <f>IF(I39="","",IF(I39&gt;365,"Long-term","Short-term"))</f>
        <v/>
      </c>
      <c r="L39" s="60" t="n"/>
    </row>
    <row r="40">
      <c r="B40" s="12" t="n"/>
      <c r="C40" s="28" t="n"/>
      <c r="D40" s="65" t="n"/>
      <c r="E40" s="27" t="n"/>
      <c r="F40" s="17">
        <f>IFERROR(D40*E40,"")</f>
        <v/>
      </c>
      <c r="G40" s="29" t="n"/>
      <c r="H40" s="30">
        <f>IFERROR(D40*G40,"")</f>
        <v/>
      </c>
      <c r="I40" s="77">
        <f>IFERROR(TODAY()-C40,"")</f>
        <v/>
      </c>
      <c r="J40" s="31">
        <f>IFERROR(H40-F40,"")</f>
        <v/>
      </c>
      <c r="K40" s="15">
        <f>IF(I40="","",IF(I40&gt;365,"Long-term","Short-term"))</f>
        <v/>
      </c>
      <c r="L40" s="60" t="n"/>
    </row>
    <row r="41">
      <c r="B41" s="12" t="n"/>
      <c r="C41" s="28" t="n"/>
      <c r="D41" s="65" t="n"/>
      <c r="E41" s="27" t="n"/>
      <c r="F41" s="17">
        <f>IFERROR(D41*E41,"")</f>
        <v/>
      </c>
      <c r="G41" s="29" t="n"/>
      <c r="H41" s="30">
        <f>IFERROR(D41*G41,"")</f>
        <v/>
      </c>
      <c r="I41" s="77">
        <f>IFERROR(TODAY()-C41,"")</f>
        <v/>
      </c>
      <c r="J41" s="31">
        <f>IFERROR(H41-F41,"")</f>
        <v/>
      </c>
      <c r="K41" s="15">
        <f>IF(I41="","",IF(I41&gt;365,"Long-term","Short-term"))</f>
        <v/>
      </c>
      <c r="L41" s="60" t="n"/>
    </row>
    <row r="42">
      <c r="B42" s="12" t="n"/>
      <c r="C42" s="28" t="n"/>
      <c r="D42" s="65" t="n"/>
      <c r="E42" s="27" t="n"/>
      <c r="F42" s="17">
        <f>IFERROR(D42*E42,"")</f>
        <v/>
      </c>
      <c r="G42" s="29" t="n"/>
      <c r="H42" s="30">
        <f>IFERROR(D42*G42,"")</f>
        <v/>
      </c>
      <c r="I42" s="77">
        <f>IFERROR(TODAY()-C42,"")</f>
        <v/>
      </c>
      <c r="J42" s="31">
        <f>IFERROR(H42-F42,"")</f>
        <v/>
      </c>
      <c r="K42" s="15">
        <f>IF(I42="","",IF(I42&gt;365,"Long-term","Short-term"))</f>
        <v/>
      </c>
      <c r="L42" s="60" t="n"/>
    </row>
    <row r="45" ht="32" customHeight="1">
      <c r="B45" s="22" t="inlineStr">
        <is>
          <t>🧾  Specific-lot selection saves taxes on partial sells
Default broker behavior is FIFO (sell oldest lots first). But "specific lot" lets you pick — e.g., when raising cash from VTI, sell the HIGHEST-cost-basis lot to minimize realized gain. Most brokers allow this if you specify at the time of sale; document the lot ID in column L when you do.</t>
        </is>
      </c>
      <c r="C45" s="93" t="n"/>
      <c r="D45" s="93" t="n"/>
      <c r="E45" s="93" t="n"/>
      <c r="F45" s="93" t="n"/>
      <c r="G45" s="93" t="n"/>
      <c r="H45" s="93" t="n"/>
      <c r="I45" s="93" t="n"/>
      <c r="J45" s="93" t="n"/>
      <c r="K45" s="93" t="n"/>
      <c r="L45" s="94" t="n"/>
    </row>
    <row r="46" ht="32" customHeight="1">
      <c r="B46" s="95" t="n"/>
      <c r="C46" s="96" t="n"/>
      <c r="D46" s="96" t="n"/>
      <c r="E46" s="96" t="n"/>
      <c r="F46" s="96" t="n"/>
      <c r="G46" s="96" t="n"/>
      <c r="H46" s="96" t="n"/>
      <c r="I46" s="96" t="n"/>
      <c r="J46" s="96" t="n"/>
      <c r="K46" s="96" t="n"/>
      <c r="L46" s="97" t="n"/>
    </row>
    <row r="50" ht="3" customHeight="1">
      <c r="A50" s="9" t="n"/>
    </row>
    <row r="51" ht="22" customHeight="1">
      <c r="A51" s="23" t="inlineStr">
        <is>
          <t>Lime Premium Studios  ·  Investment Portfolio Tracker Pro v1.0  ·  Privacy-first. No Plaid. No app.</t>
        </is>
      </c>
    </row>
  </sheetData>
  <mergeCells count="17">
    <mergeCell ref="K2:M2"/>
    <mergeCell ref="A2:B2"/>
    <mergeCell ref="D1:I1"/>
    <mergeCell ref="C2:D2"/>
    <mergeCell ref="A1:C1"/>
    <mergeCell ref="G2:H2"/>
    <mergeCell ref="E2:F2"/>
    <mergeCell ref="B6:L6"/>
    <mergeCell ref="I2:J2"/>
    <mergeCell ref="B7:L7"/>
    <mergeCell ref="A50:M50"/>
    <mergeCell ref="A4:M4"/>
    <mergeCell ref="A3:M3"/>
    <mergeCell ref="J1:M1"/>
    <mergeCell ref="A51:M51"/>
    <mergeCell ref="B45:L46"/>
    <mergeCell ref="B8:L8"/>
  </mergeCells>
  <conditionalFormatting sqref="K11:K42">
    <cfRule type="containsText" priority="1" dxfId="2">
      <formula>NOT(ISERROR(SEARCH("Long-term",K11)))</formula>
    </cfRule>
    <cfRule type="containsText" priority="2" dxfId="1">
      <formula>NOT(ISERROR(SEARCH("Short-term",K11)))</formula>
    </cfRule>
  </conditionalFormatting>
  <dataValidations count="1">
    <dataValidation sqref="L8" showDropDown="0" showInputMessage="0" showErrorMessage="0" allowBlank="0" type="list">
      <formula1>"US,UK,EU,AU,CA"</formula1>
    </dataValidation>
  </dataValidations>
  <pageMargins left="0.7" right="0.7" top="0.75" bottom="0.75" header="0.3" footer="0.3"/>
  <pageSetup orientation="portrait" scale="100" fitToHeight="1" fitToWidth="1" horizontalDpi="4294967295" verticalDpi="4294967295"/>
</worksheet>
</file>

<file path=xl/worksheets/sheet17.xml><?xml version="1.0" encoding="utf-8"?>
<worksheet xmlns="http://schemas.openxmlformats.org/spreadsheetml/2006/main">
  <sheetPr>
    <tabColor rgb="FF9B3A30"/>
    <outlinePr summaryBelow="1" summaryRight="1"/>
    <pageSetUpPr/>
  </sheetPr>
  <dimension ref="A1:M33"/>
  <sheetViews>
    <sheetView workbookViewId="0">
      <pane ySplit="4" topLeftCell="A5" activePane="bottomLeft" state="frozen"/>
      <selection pane="bottomLeft" activeCell="A1" sqref="A1"/>
    </sheetView>
  </sheetViews>
  <sheetFormatPr baseColWidth="8" defaultRowHeight="15" outlineLevelRow="0"/>
  <cols>
    <col width="2" customWidth="1" min="1" max="1"/>
    <col width="10" customWidth="1" min="2" max="2"/>
    <col width="11" customWidth="1" min="3" max="4"/>
    <col width="12" customWidth="1" min="5" max="6"/>
    <col width="14" customWidth="1" min="7" max="8"/>
    <col width="16" customWidth="1" min="9" max="9"/>
    <col width="12" customWidth="1" min="10" max="10"/>
    <col width="11" customWidth="1" min="11" max="11"/>
    <col width="14" customWidth="1" min="12" max="12"/>
    <col width="2" customWidth="1" min="13" max="13"/>
  </cols>
  <sheetData>
    <row r="1" ht="32" customHeight="1">
      <c r="A1" s="1" t="inlineStr">
        <is>
          <t xml:space="preserve">    Lime Premium Studios</t>
        </is>
      </c>
      <c r="D1" s="2" t="inlineStr">
        <is>
          <t>Investment Portfolio Tracker — Pro</t>
        </is>
      </c>
      <c r="J1" s="3" t="inlineStr">
        <is>
          <t>📉 Tax-Loss Harvesting</t>
        </is>
      </c>
    </row>
    <row r="2" ht="54" customHeight="1">
      <c r="A2" s="4">
        <f>"CANDIDATES"&amp;CHAR(10)&amp;(COUNTIF(F9:F22,"&lt;0"))</f>
        <v/>
      </c>
      <c r="B2" s="91" t="n"/>
      <c r="C2" s="4">
        <f>"LOSS $"&amp;CHAR(10)&amp;(TEXT(SUMIF(F9:F22,"&lt;0"),"$#,##0"))</f>
        <v/>
      </c>
      <c r="D2" s="91" t="n"/>
      <c r="E2" s="4">
        <f>"TAX SAVINGS"&amp;CHAR(10)&amp;(TEXT(IFERROR(-SUMIF(F9:F22,"&lt;0")*0.24,0),"$#,##0"))</f>
        <v/>
      </c>
      <c r="F2" s="91" t="n"/>
      <c r="G2" s="4">
        <f>"WASH BLOCKED"&amp;CHAR(10)&amp;(COUNTIF(I9:I22,"🔴*"))</f>
        <v/>
      </c>
      <c r="H2" s="91" t="n"/>
      <c r="I2" s="38" t="inlineStr">
        <is>
          <t>STCG OFFSET
$3K/yr cap</t>
        </is>
      </c>
      <c r="J2" s="91" t="n"/>
      <c r="K2" s="4">
        <f>"REGION"&amp;CHAR(10)&amp;('🧾 Tax Lot Tracker'!L8)</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Eligible positions with unrealized losses. Wash-sale window (30-day pre + post) check. Suggested replacement security per position.</t>
        </is>
      </c>
    </row>
    <row r="6" ht="26" customHeight="1">
      <c r="B6" s="7" t="inlineStr">
        <is>
          <t>Tax-loss harvesting candidates</t>
        </is>
      </c>
    </row>
    <row r="7" ht="18" customHeight="1">
      <c r="B7" s="8" t="inlineStr">
        <is>
          <t>Positions with unrealized losses. Wash-sale check looks at any same-or-substantially-identical buy in last 30 days (or planned next 30) across ALL accounts including spouse + IRA.</t>
        </is>
      </c>
    </row>
    <row r="8" ht="3" customHeight="1">
      <c r="B8" s="9" t="n"/>
    </row>
    <row r="10" ht="24" customHeight="1">
      <c r="B10" s="10" t="inlineStr">
        <is>
          <t>Ticker</t>
        </is>
      </c>
      <c r="C10" s="10" t="inlineStr">
        <is>
          <t>Account</t>
        </is>
      </c>
      <c r="D10" s="10" t="inlineStr">
        <is>
          <t>Shares</t>
        </is>
      </c>
      <c r="E10" s="10" t="inlineStr">
        <is>
          <t>Cost Basis</t>
        </is>
      </c>
      <c r="F10" s="10" t="inlineStr">
        <is>
          <t>Curr Value</t>
        </is>
      </c>
      <c r="G10" s="10" t="inlineStr">
        <is>
          <t>Loss $</t>
        </is>
      </c>
      <c r="H10" s="10" t="inlineStr">
        <is>
          <t>Loss %</t>
        </is>
      </c>
      <c r="I10" s="10" t="inlineStr">
        <is>
          <t>Wash Window</t>
        </is>
      </c>
      <c r="J10" s="10" t="inlineStr">
        <is>
          <t>Replacement</t>
        </is>
      </c>
      <c r="K10" s="10" t="inlineStr">
        <is>
          <t>Tax Save</t>
        </is>
      </c>
      <c r="L10" s="10" t="inlineStr">
        <is>
          <t>Priority</t>
        </is>
      </c>
    </row>
    <row r="11">
      <c r="B11" s="12" t="inlineStr">
        <is>
          <t>BND</t>
        </is>
      </c>
      <c r="C11" s="41" t="inlineStr">
        <is>
          <t>Brokerage Taxable</t>
        </is>
      </c>
      <c r="D11" s="65" t="n">
        <v>250</v>
      </c>
      <c r="E11" s="17" t="n">
        <v>18550</v>
      </c>
      <c r="F11" s="17" t="n">
        <v>18100</v>
      </c>
      <c r="G11" s="31">
        <f>IFERROR(F11-E11,"")</f>
        <v/>
      </c>
      <c r="H11" s="32">
        <f>IFERROR(G11/E11,"")</f>
        <v/>
      </c>
      <c r="I11" s="15" t="inlineStr">
        <is>
          <t>✓ Clear</t>
        </is>
      </c>
      <c r="J11" s="78" t="inlineStr">
        <is>
          <t>AGG or SCHZ</t>
        </is>
      </c>
      <c r="K11" s="30">
        <f>IFERROR(MAX(0,-G11)*0.24,0)</f>
        <v/>
      </c>
      <c r="L11" s="41" t="inlineStr">
        <is>
          <t>Low — small $</t>
        </is>
      </c>
    </row>
    <row r="12">
      <c r="B12" s="12" t="inlineStr">
        <is>
          <t>VXUS</t>
        </is>
      </c>
      <c r="C12" s="41" t="inlineStr">
        <is>
          <t>Brokerage Taxable</t>
        </is>
      </c>
      <c r="D12" s="65" t="n">
        <v>180</v>
      </c>
      <c r="E12" s="17" t="n">
        <v>10224</v>
      </c>
      <c r="F12" s="17" t="n">
        <v>10764</v>
      </c>
      <c r="G12" s="31">
        <f>IFERROR(F12-E12,"")</f>
        <v/>
      </c>
      <c r="H12" s="32">
        <f>IFERROR(G12/E12,"")</f>
        <v/>
      </c>
      <c r="I12" s="15" t="inlineStr">
        <is>
          <t>🔴 BLOCKED 22 days</t>
        </is>
      </c>
      <c r="J12" s="78" t="inlineStr">
        <is>
          <t>IXUS (still wash-risk)</t>
        </is>
      </c>
      <c r="K12" s="30">
        <f>IFERROR(MAX(0,-G12)*0.24,0)</f>
        <v/>
      </c>
      <c r="L12" s="41" t="inlineStr">
        <is>
          <t>🔴 Wash via IRA</t>
        </is>
      </c>
    </row>
    <row r="13">
      <c r="B13" s="12" t="inlineStr">
        <is>
          <t>ARKK</t>
        </is>
      </c>
      <c r="C13" s="41" t="inlineStr">
        <is>
          <t>Brokerage Taxable</t>
        </is>
      </c>
      <c r="D13" s="65" t="n">
        <v>80</v>
      </c>
      <c r="E13" s="17" t="n">
        <v>3704</v>
      </c>
      <c r="F13" s="17" t="n">
        <v>3056</v>
      </c>
      <c r="G13" s="31">
        <f>IFERROR(F13-E13,"")</f>
        <v/>
      </c>
      <c r="H13" s="32">
        <f>IFERROR(G13/E13,"")</f>
        <v/>
      </c>
      <c r="I13" s="15" t="inlineStr">
        <is>
          <t>✓ Clear</t>
        </is>
      </c>
      <c r="J13" s="78" t="inlineStr">
        <is>
          <t>QQQ or XLK</t>
        </is>
      </c>
      <c r="K13" s="30">
        <f>IFERROR(MAX(0,-G13)*0.24,0)</f>
        <v/>
      </c>
      <c r="L13" s="41" t="inlineStr">
        <is>
          <t>HIGH — clean window</t>
        </is>
      </c>
    </row>
    <row r="14">
      <c r="B14" s="12" t="n"/>
      <c r="C14" s="41" t="n"/>
      <c r="D14" s="65" t="n"/>
      <c r="E14" s="17" t="n"/>
      <c r="F14" s="17" t="n"/>
      <c r="G14" s="31">
        <f>IFERROR(F14-E14,"")</f>
        <v/>
      </c>
      <c r="H14" s="32">
        <f>IFERROR(G14/E14,"")</f>
        <v/>
      </c>
      <c r="I14" s="15" t="n"/>
      <c r="J14" s="78" t="n"/>
      <c r="K14" s="30">
        <f>IFERROR(MAX(0,-G14)*0.24,0)</f>
        <v/>
      </c>
      <c r="L14" s="41" t="n"/>
    </row>
    <row r="15">
      <c r="B15" s="12" t="n"/>
      <c r="C15" s="41" t="n"/>
      <c r="D15" s="65" t="n"/>
      <c r="E15" s="17" t="n"/>
      <c r="F15" s="17" t="n"/>
      <c r="G15" s="31">
        <f>IFERROR(F15-E15,"")</f>
        <v/>
      </c>
      <c r="H15" s="32">
        <f>IFERROR(G15/E15,"")</f>
        <v/>
      </c>
      <c r="I15" s="15" t="n"/>
      <c r="J15" s="78" t="n"/>
      <c r="K15" s="30">
        <f>IFERROR(MAX(0,-G15)*0.24,0)</f>
        <v/>
      </c>
      <c r="L15" s="41" t="n"/>
    </row>
    <row r="16">
      <c r="B16" s="12" t="n"/>
      <c r="C16" s="41" t="n"/>
      <c r="D16" s="65" t="n"/>
      <c r="E16" s="17" t="n"/>
      <c r="F16" s="17" t="n"/>
      <c r="G16" s="31">
        <f>IFERROR(F16-E16,"")</f>
        <v/>
      </c>
      <c r="H16" s="32">
        <f>IFERROR(G16/E16,"")</f>
        <v/>
      </c>
      <c r="I16" s="15" t="n"/>
      <c r="J16" s="78" t="n"/>
      <c r="K16" s="30">
        <f>IFERROR(MAX(0,-G16)*0.24,0)</f>
        <v/>
      </c>
      <c r="L16" s="41" t="n"/>
    </row>
    <row r="17">
      <c r="B17" s="12" t="n"/>
      <c r="C17" s="41" t="n"/>
      <c r="D17" s="65" t="n"/>
      <c r="E17" s="17" t="n"/>
      <c r="F17" s="17" t="n"/>
      <c r="G17" s="31">
        <f>IFERROR(F17-E17,"")</f>
        <v/>
      </c>
      <c r="H17" s="32">
        <f>IFERROR(G17/E17,"")</f>
        <v/>
      </c>
      <c r="I17" s="15" t="n"/>
      <c r="J17" s="78" t="n"/>
      <c r="K17" s="30">
        <f>IFERROR(MAX(0,-G17)*0.24,0)</f>
        <v/>
      </c>
      <c r="L17" s="41" t="n"/>
    </row>
    <row r="18">
      <c r="B18" s="12" t="n"/>
      <c r="C18" s="41" t="n"/>
      <c r="D18" s="65" t="n"/>
      <c r="E18" s="17" t="n"/>
      <c r="F18" s="17" t="n"/>
      <c r="G18" s="31">
        <f>IFERROR(F18-E18,"")</f>
        <v/>
      </c>
      <c r="H18" s="32">
        <f>IFERROR(G18/E18,"")</f>
        <v/>
      </c>
      <c r="I18" s="15" t="n"/>
      <c r="J18" s="78" t="n"/>
      <c r="K18" s="30">
        <f>IFERROR(MAX(0,-G18)*0.24,0)</f>
        <v/>
      </c>
      <c r="L18" s="41" t="n"/>
    </row>
    <row r="19">
      <c r="B19" s="12" t="n"/>
      <c r="C19" s="41" t="n"/>
      <c r="D19" s="65" t="n"/>
      <c r="E19" s="17" t="n"/>
      <c r="F19" s="17" t="n"/>
      <c r="G19" s="31">
        <f>IFERROR(F19-E19,"")</f>
        <v/>
      </c>
      <c r="H19" s="32">
        <f>IFERROR(G19/E19,"")</f>
        <v/>
      </c>
      <c r="I19" s="15" t="n"/>
      <c r="J19" s="78" t="n"/>
      <c r="K19" s="30">
        <f>IFERROR(MAX(0,-G19)*0.24,0)</f>
        <v/>
      </c>
      <c r="L19" s="41" t="n"/>
    </row>
    <row r="20">
      <c r="B20" s="12" t="n"/>
      <c r="C20" s="41" t="n"/>
      <c r="D20" s="65" t="n"/>
      <c r="E20" s="17" t="n"/>
      <c r="F20" s="17" t="n"/>
      <c r="G20" s="31">
        <f>IFERROR(F20-E20,"")</f>
        <v/>
      </c>
      <c r="H20" s="32">
        <f>IFERROR(G20/E20,"")</f>
        <v/>
      </c>
      <c r="I20" s="15" t="n"/>
      <c r="J20" s="78" t="n"/>
      <c r="K20" s="30">
        <f>IFERROR(MAX(0,-G20)*0.24,0)</f>
        <v/>
      </c>
      <c r="L20" s="41" t="n"/>
    </row>
    <row r="21">
      <c r="B21" s="12" t="n"/>
      <c r="C21" s="41" t="n"/>
      <c r="D21" s="65" t="n"/>
      <c r="E21" s="17" t="n"/>
      <c r="F21" s="17" t="n"/>
      <c r="G21" s="31">
        <f>IFERROR(F21-E21,"")</f>
        <v/>
      </c>
      <c r="H21" s="32">
        <f>IFERROR(G21/E21,"")</f>
        <v/>
      </c>
      <c r="I21" s="15" t="n"/>
      <c r="J21" s="78" t="n"/>
      <c r="K21" s="30">
        <f>IFERROR(MAX(0,-G21)*0.24,0)</f>
        <v/>
      </c>
      <c r="L21" s="41" t="n"/>
    </row>
    <row r="22">
      <c r="B22" s="12" t="n"/>
      <c r="C22" s="41" t="n"/>
      <c r="D22" s="65" t="n"/>
      <c r="E22" s="17" t="n"/>
      <c r="F22" s="17" t="n"/>
      <c r="G22" s="31">
        <f>IFERROR(F22-E22,"")</f>
        <v/>
      </c>
      <c r="H22" s="32">
        <f>IFERROR(G22/E22,"")</f>
        <v/>
      </c>
      <c r="I22" s="15" t="n"/>
      <c r="J22" s="78" t="n"/>
      <c r="K22" s="30">
        <f>IFERROR(MAX(0,-G22)*0.24,0)</f>
        <v/>
      </c>
      <c r="L22" s="41" t="n"/>
    </row>
    <row r="23">
      <c r="B23" s="12" t="n"/>
      <c r="C23" s="41" t="n"/>
      <c r="D23" s="65" t="n"/>
      <c r="E23" s="17" t="n"/>
      <c r="F23" s="17" t="n"/>
      <c r="G23" s="31">
        <f>IFERROR(F23-E23,"")</f>
        <v/>
      </c>
      <c r="H23" s="32">
        <f>IFERROR(G23/E23,"")</f>
        <v/>
      </c>
      <c r="I23" s="15" t="n"/>
      <c r="J23" s="78" t="n"/>
      <c r="K23" s="30">
        <f>IFERROR(MAX(0,-G23)*0.24,0)</f>
        <v/>
      </c>
      <c r="L23" s="41" t="n"/>
    </row>
    <row r="24">
      <c r="B24" s="12" t="n"/>
      <c r="C24" s="41" t="n"/>
      <c r="D24" s="65" t="n"/>
      <c r="E24" s="17" t="n"/>
      <c r="F24" s="17" t="n"/>
      <c r="G24" s="31">
        <f>IFERROR(F24-E24,"")</f>
        <v/>
      </c>
      <c r="H24" s="32">
        <f>IFERROR(G24/E24,"")</f>
        <v/>
      </c>
      <c r="I24" s="15" t="n"/>
      <c r="J24" s="78" t="n"/>
      <c r="K24" s="30">
        <f>IFERROR(MAX(0,-G24)*0.24,0)</f>
        <v/>
      </c>
      <c r="L24" s="41" t="n"/>
    </row>
    <row r="27" ht="32" customHeight="1">
      <c r="B27" s="22" t="inlineStr">
        <is>
          <t>⚠️  Wash-sale rule applies across ALL accounts — including spouse + IRA
If you sell at a loss in taxable AND your IRA bought the same security in last 30 days (or next 30), the IRS DISALLOWS the loss permanently — and your IRA cost basis is NOT adjusted. This is the most common TLH mistake. AI Tax-Loss Harvesting Scout (page 4) walks every recent buy across every account before recommending the sell.</t>
        </is>
      </c>
      <c r="C27" s="93" t="n"/>
      <c r="D27" s="93" t="n"/>
      <c r="E27" s="93" t="n"/>
      <c r="F27" s="93" t="n"/>
      <c r="G27" s="93" t="n"/>
      <c r="H27" s="93" t="n"/>
      <c r="I27" s="93" t="n"/>
      <c r="J27" s="93" t="n"/>
      <c r="K27" s="93" t="n"/>
      <c r="L27" s="94" t="n"/>
    </row>
    <row r="28" ht="32" customHeight="1">
      <c r="B28" s="95" t="n"/>
      <c r="C28" s="96" t="n"/>
      <c r="D28" s="96" t="n"/>
      <c r="E28" s="96" t="n"/>
      <c r="F28" s="96" t="n"/>
      <c r="G28" s="96" t="n"/>
      <c r="H28" s="96" t="n"/>
      <c r="I28" s="96" t="n"/>
      <c r="J28" s="96" t="n"/>
      <c r="K28" s="96" t="n"/>
      <c r="L28" s="97" t="n"/>
    </row>
    <row r="32" ht="3" customHeight="1">
      <c r="A32" s="9" t="n"/>
    </row>
    <row r="33" ht="22" customHeight="1">
      <c r="A33" s="23" t="inlineStr">
        <is>
          <t>Lime Premium Studios  ·  Investment Portfolio Tracker Pro v1.0  ·  Privacy-first. No Plaid. No app.</t>
        </is>
      </c>
    </row>
  </sheetData>
  <mergeCells count="17">
    <mergeCell ref="B27:L28"/>
    <mergeCell ref="K2:M2"/>
    <mergeCell ref="A2:B2"/>
    <mergeCell ref="D1:I1"/>
    <mergeCell ref="C2:D2"/>
    <mergeCell ref="A1:C1"/>
    <mergeCell ref="G2:H2"/>
    <mergeCell ref="E2:F2"/>
    <mergeCell ref="B6:L6"/>
    <mergeCell ref="I2:J2"/>
    <mergeCell ref="B7:L7"/>
    <mergeCell ref="A32:M32"/>
    <mergeCell ref="A4:M4"/>
    <mergeCell ref="A3:M3"/>
    <mergeCell ref="A33:M33"/>
    <mergeCell ref="J1:M1"/>
    <mergeCell ref="B8:L8"/>
  </mergeCells>
  <conditionalFormatting sqref="I11:I24">
    <cfRule type="containsText" priority="1" dxfId="0">
      <formula>NOT(ISERROR(SEARCH("🔴",I11)))</formula>
    </cfRule>
    <cfRule type="containsText" priority="2" dxfId="2">
      <formula>NOT(ISERROR(SEARCH("✓",I11)))</formula>
    </cfRule>
  </conditionalFormatting>
  <conditionalFormatting sqref="G11:H24">
    <cfRule type="cellIs" priority="1" operator="lessThan" dxfId="7">
      <formula>0</formula>
    </cfRule>
    <cfRule type="cellIs" priority="2" operator="greaterThan" dxfId="6">
      <formula>0</formula>
    </cfRule>
  </conditionalFormatting>
  <pageMargins left="0.7" right="0.7" top="0.75" bottom="0.75" header="0.3" footer="0.3"/>
  <pageSetup orientation="portrait" scale="100" fitToHeight="1" fitToWidth="1" horizontalDpi="4294967295" verticalDpi="4294967295"/>
</worksheet>
</file>

<file path=xl/worksheets/sheet18.xml><?xml version="1.0" encoding="utf-8"?>
<worksheet xmlns="http://schemas.openxmlformats.org/spreadsheetml/2006/main">
  <sheetPr>
    <tabColor rgb="FF1F2A33"/>
    <outlinePr summaryBelow="1" summaryRight="1"/>
    <pageSetUpPr/>
  </sheetPr>
  <dimension ref="A1:M23"/>
  <sheetViews>
    <sheetView workbookViewId="0">
      <pane ySplit="4" topLeftCell="A5" activePane="bottomLeft" state="frozen"/>
      <selection pane="bottomLeft" activeCell="A1" sqref="A1"/>
    </sheetView>
  </sheetViews>
  <sheetFormatPr baseColWidth="8" defaultRowHeight="15" outlineLevelRow="0"/>
  <cols>
    <col width="2" customWidth="1" min="1" max="1"/>
    <col width="22" customWidth="1" min="2" max="2"/>
    <col width="12" customWidth="1" min="3" max="12"/>
    <col width="2" customWidth="1" min="13" max="13"/>
  </cols>
  <sheetData>
    <row r="1" ht="32" customHeight="1">
      <c r="A1" s="1" t="inlineStr">
        <is>
          <t xml:space="preserve">    Lime Premium Studios</t>
        </is>
      </c>
      <c r="D1" s="2" t="inlineStr">
        <is>
          <t>Investment Portfolio Tracker — Pro</t>
        </is>
      </c>
      <c r="J1" s="3" t="inlineStr">
        <is>
          <t>🎯 Scenario Simulator</t>
        </is>
      </c>
    </row>
    <row r="2" ht="54" customHeight="1">
      <c r="A2" s="4">
        <f>"CURRENT $"&amp;CHAR(10)&amp;(TEXT(SUM('📊 Holdings Master'!J9:J68),"$#,##0"))</f>
        <v/>
      </c>
      <c r="B2" s="91" t="n"/>
      <c r="C2" s="4">
        <f>"SCENARIO"&amp;CHAR(10)&amp;(IFERROR(C5,"—"))</f>
        <v/>
      </c>
      <c r="D2" s="91" t="n"/>
      <c r="E2" s="4">
        <f>"POST-SHOCK"&amp;CHAR(10)&amp;(TEXT(IFERROR(C8,0),"$#,##0"))</f>
        <v/>
      </c>
      <c r="F2" s="91" t="n"/>
      <c r="G2" s="4">
        <f>"RECOVERY"&amp;CHAR(10)&amp;(IFERROR(C12&amp;" mo","—"))</f>
        <v/>
      </c>
      <c r="H2" s="91" t="n"/>
      <c r="I2" s="4">
        <f>"FIRE DELAY"&amp;CHAR(10)&amp;(IFERROR(C14&amp;" mo","—"))</f>
        <v/>
      </c>
      <c r="J2" s="91" t="n"/>
      <c r="K2" s="38" t="inlineStr">
        <is>
          <t>RETURN ASS
6% real</t>
        </is>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Drop X%? Add Y$/mo? Instant impact + recovery timeline. Same logic the AI Market Scenario Analyst uses (page 7).</t>
        </is>
      </c>
    </row>
    <row r="5">
      <c r="B5" s="79" t="inlineStr">
        <is>
          <t>Scenario</t>
        </is>
      </c>
      <c r="C5" s="80" t="inlineStr">
        <is>
          <t>Moderate correction (-20%)</t>
        </is>
      </c>
    </row>
    <row r="6" ht="26" customHeight="1">
      <c r="B6" s="7" t="inlineStr">
        <is>
          <t>Scenario impact + recovery timeline</t>
        </is>
      </c>
    </row>
    <row r="7" ht="18" customHeight="1">
      <c r="B7" s="81">
        <f>IF(C5="Mild correction (-10%)",-0.1,IF(C5="Moderate correction (-20%)",-0.2,IF(C5="Severe correction (-35%)",-0.35,IF(C5="Mild rally (+15%)",0.15,IF(C5="Strong rally (+30%)",0.30,0)))))</f>
        <v/>
      </c>
      <c r="C7" s="92" t="n"/>
      <c r="D7" s="92" t="n"/>
      <c r="E7" s="92" t="n"/>
      <c r="F7" s="92" t="n"/>
      <c r="G7" s="92" t="n"/>
      <c r="H7" s="92" t="n"/>
      <c r="I7" s="92" t="n"/>
      <c r="J7" s="92" t="n"/>
      <c r="K7" s="92" t="n"/>
      <c r="L7" s="91" t="n"/>
    </row>
    <row r="8" ht="3" customHeight="1">
      <c r="B8" s="81">
        <f>IF(C5="Mild correction (-10%)",-0.25,IF(C5="Moderate correction (-20%)",-0.5,IF(C5="Severe correction (-35%)",-0.75,IF(C5="Mild rally (+15%)",0.5,IF(C5="Strong rally (+30%)",1.0,0)))))</f>
        <v/>
      </c>
      <c r="C8" s="92" t="n"/>
      <c r="D8" s="92" t="n"/>
      <c r="E8" s="92" t="n"/>
      <c r="F8" s="92" t="n"/>
      <c r="G8" s="92" t="n"/>
      <c r="H8" s="92" t="n"/>
      <c r="I8" s="92" t="n"/>
      <c r="J8" s="92" t="n"/>
      <c r="K8" s="92" t="n"/>
      <c r="L8" s="91" t="n"/>
    </row>
    <row r="9">
      <c r="B9" s="71" t="inlineStr">
        <is>
          <t>Post-shock value</t>
        </is>
      </c>
      <c r="C9" s="82">
        <f>SUM('📊 Holdings Master'!J9:J68)*(1+C6*0.8)</f>
        <v/>
      </c>
    </row>
    <row r="10">
      <c r="B10" s="71" t="inlineStr">
        <is>
          <t>$ impact</t>
        </is>
      </c>
      <c r="C10" s="83">
        <f>C8-SUM('📊 Holdings Master'!J9:J68)</f>
        <v/>
      </c>
    </row>
    <row r="11">
      <c r="B11" s="71" t="inlineStr">
        <is>
          <t>% impact</t>
        </is>
      </c>
      <c r="C11" s="81">
        <f>IFERROR(C9/SUM('📊 Holdings Master'!J9:J68),0)</f>
        <v/>
      </c>
    </row>
    <row r="12">
      <c r="B12" s="71" t="inlineStr">
        <is>
          <t>Recovery time (months)</t>
        </is>
      </c>
      <c r="C12" s="84">
        <f>IF(C9&gt;=0,0,IFERROR(ROUNDUP(LN(SUM('📊 Holdings Master'!J9:J68)/MAX(1,C8))/LN(1.005),0),"—"))</f>
        <v/>
      </c>
    </row>
    <row r="13">
      <c r="B13" s="71" t="inlineStr">
        <is>
          <t>New monthly contribution</t>
        </is>
      </c>
      <c r="C13" s="82">
        <f>IF(C5="Add $500/mo",2300,IF(C5="Add $1,000/mo",2800,IF(C5="Pause 12 months",0,1800)))</f>
        <v/>
      </c>
    </row>
    <row r="14">
      <c r="B14" s="71" t="inlineStr">
        <is>
          <t>FIRE delay (months)</t>
        </is>
      </c>
      <c r="C14" s="84">
        <f>IF(C9&gt;=0,0,IFERROR(ROUNDUP(-C9/(C12*12),0),"—"))</f>
        <v/>
      </c>
    </row>
    <row r="15">
      <c r="B15" s="71" t="inlineStr">
        <is>
          <t>Recommended action</t>
        </is>
      </c>
      <c r="C15" s="85">
        <f>IF(C5="Severe correction (-35%)","Continue contributions — best discount of cycle",IF(C5="Strong rally (+30%)","Rebalance — sell appreciated to fund underweight",IF(C5="Add $500/mo","Highest-leverage move you control",IF(C5="Pause 12 months","Recoverable. Resume when income returns.","Continue on schedule"))))</f>
        <v/>
      </c>
    </row>
    <row r="17" ht="32" customHeight="1">
      <c r="B17" s="22" t="inlineStr">
        <is>
          <t>🎯  Scenarios condition, they don't predict
A scenario isn't a forecast — it's a "what if this happens?" pre-commit. The value of running scenarios BEFORE the next correction is so you don't make panic-decisions in the middle of one. The most common wealth-destroyer in retail investing is capitulation selling at -40 to -50% drawdown — investors who pre-committed to "stay invested through -50%" hold; investors who didn't, sell.</t>
        </is>
      </c>
      <c r="C17" s="93" t="n"/>
      <c r="D17" s="93" t="n"/>
      <c r="E17" s="93" t="n"/>
      <c r="F17" s="93" t="n"/>
      <c r="G17" s="93" t="n"/>
      <c r="H17" s="93" t="n"/>
      <c r="I17" s="93" t="n"/>
      <c r="J17" s="93" t="n"/>
      <c r="K17" s="93" t="n"/>
      <c r="L17" s="94" t="n"/>
    </row>
    <row r="18" ht="32" customHeight="1">
      <c r="B18" s="95" t="n"/>
      <c r="C18" s="96" t="n"/>
      <c r="D18" s="96" t="n"/>
      <c r="E18" s="96" t="n"/>
      <c r="F18" s="96" t="n"/>
      <c r="G18" s="96" t="n"/>
      <c r="H18" s="96" t="n"/>
      <c r="I18" s="96" t="n"/>
      <c r="J18" s="96" t="n"/>
      <c r="K18" s="96" t="n"/>
      <c r="L18" s="97" t="n"/>
    </row>
    <row r="22" ht="3" customHeight="1">
      <c r="A22" s="9" t="n"/>
    </row>
    <row r="23" ht="22" customHeight="1">
      <c r="A23" s="23" t="inlineStr">
        <is>
          <t>Lime Premium Studios  ·  Investment Portfolio Tracker Pro v1.0  ·  Privacy-first. No Plaid. No app.</t>
        </is>
      </c>
    </row>
  </sheetData>
  <mergeCells count="17">
    <mergeCell ref="K2:M2"/>
    <mergeCell ref="A2:B2"/>
    <mergeCell ref="D1:I1"/>
    <mergeCell ref="C2:D2"/>
    <mergeCell ref="A1:C1"/>
    <mergeCell ref="A23:M23"/>
    <mergeCell ref="G2:H2"/>
    <mergeCell ref="E2:F2"/>
    <mergeCell ref="B6:L6"/>
    <mergeCell ref="I2:J2"/>
    <mergeCell ref="B7:L7"/>
    <mergeCell ref="B17:L18"/>
    <mergeCell ref="A22:M22"/>
    <mergeCell ref="A4:M4"/>
    <mergeCell ref="A3:M3"/>
    <mergeCell ref="J1:M1"/>
    <mergeCell ref="B8:L8"/>
  </mergeCells>
  <dataValidations count="1">
    <dataValidation sqref="C5" showDropDown="0" showInputMessage="0" showErrorMessage="0" allowBlank="0" type="list">
      <formula1>"Mild correction (-10%),Moderate correction (-20%),Severe correction (-35%),Mild rally (+15%),Strong rally (+30%),Add $500/mo,Add $1,000/mo,Pause 12 months"</formula1>
    </dataValidation>
  </dataValidations>
  <pageMargins left="0.7" right="0.7" top="0.75" bottom="0.75" header="0.3" footer="0.3"/>
  <pageSetup orientation="portrait" scale="100" fitToHeight="1" fitToWidth="1" horizontalDpi="4294967295" verticalDpi="4294967295"/>
</worksheet>
</file>

<file path=xl/worksheets/sheet19.xml><?xml version="1.0" encoding="utf-8"?>
<worksheet xmlns="http://schemas.openxmlformats.org/spreadsheetml/2006/main">
  <sheetPr>
    <tabColor rgb="FF1F2A33"/>
    <outlinePr summaryBelow="1" summaryRight="1"/>
    <pageSetUpPr/>
  </sheetPr>
  <dimension ref="A1:M58"/>
  <sheetViews>
    <sheetView workbookViewId="0">
      <pane ySplit="4" topLeftCell="A5" activePane="bottomLeft" state="frozen"/>
      <selection pane="bottomLeft" activeCell="A1" sqref="A1"/>
    </sheetView>
  </sheetViews>
  <sheetFormatPr baseColWidth="8" defaultRowHeight="15" outlineLevelRow="0"/>
  <cols>
    <col width="2" customWidth="1" min="1" max="1"/>
    <col width="30" customWidth="1" min="2" max="2"/>
    <col width="60" customWidth="1" min="3" max="3"/>
    <col width="8" customWidth="1" min="4" max="4"/>
    <col width="10" customWidth="1" min="5" max="12"/>
    <col width="2" customWidth="1" min="13" max="13"/>
  </cols>
  <sheetData>
    <row r="1" ht="32" customHeight="1">
      <c r="A1" s="1" t="inlineStr">
        <is>
          <t xml:space="preserve">    Lime Premium Studios</t>
        </is>
      </c>
      <c r="D1" s="2" t="inlineStr">
        <is>
          <t>Investment Portfolio Tracker — Pro</t>
        </is>
      </c>
      <c r="J1" s="3" t="inlineStr">
        <is>
          <t>ℹ️ About &amp; Help</t>
        </is>
      </c>
    </row>
    <row r="2" ht="54" customHeight="1">
      <c r="A2" s="38" t="inlineStr">
        <is>
          <t>VERSION
1.0</t>
        </is>
      </c>
      <c r="B2" s="91" t="n"/>
      <c r="C2" s="38" t="inlineStr">
        <is>
          <t>TABS
19</t>
        </is>
      </c>
      <c r="D2" s="91" t="n"/>
      <c r="E2" s="38" t="inlineStr">
        <is>
          <t>ASSET CLASSES
10</t>
        </is>
      </c>
      <c r="F2" s="91" t="n"/>
      <c r="G2" s="38" t="inlineStr">
        <is>
          <t>AI PROMPTS
0</t>
        </is>
      </c>
      <c r="H2" s="91" t="n"/>
      <c r="I2" s="38" t="inlineStr">
        <is>
          <t>TIER
Pro</t>
        </is>
      </c>
      <c r="J2" s="91" t="n"/>
      <c r="K2" s="38" t="inlineStr">
        <is>
          <t>UPDATES
Bug fixes free</t>
        </is>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Welcome — quick answers to the questions buyers ask first.</t>
        </is>
      </c>
    </row>
    <row r="6" ht="38" customHeight="1">
      <c r="B6" s="86" t="inlineStr">
        <is>
          <t>Welcome to your Investment Portfolio Tracker.</t>
        </is>
      </c>
    </row>
    <row r="7" ht="22" customHeight="1">
      <c r="B7" s="87" t="inlineStr">
        <is>
          <t>A bloomberg-terminal-discipline portfolio sheet — 10 asset classes, GOOGLEFINANCE live prices, real Sharpe/beta/max-drawdown, wash-sale-safe tax-loss harvesting. Privacy-first.</t>
        </is>
      </c>
    </row>
    <row r="10" ht="26" customHeight="1">
      <c r="A10" s="7" t="inlineStr">
        <is>
          <t>How this spreadsheet is wired</t>
        </is>
      </c>
    </row>
    <row r="11" ht="18" customHeight="1">
      <c r="A11" s="8" t="inlineStr">
        <is>
          <t>Holdings Master is the single input. Dashboard + every analytics tab pulls from it.</t>
        </is>
      </c>
    </row>
    <row r="12" ht="3" customHeight="1">
      <c r="A12" s="9" t="n"/>
    </row>
    <row r="14" ht="28" customHeight="1">
      <c r="B14" s="16" t="inlineStr">
        <is>
          <t>📊 Holdings Master</t>
        </is>
      </c>
      <c r="C14" s="88" t="inlineStr">
        <is>
          <t>60 positions across 10 asset classes + 8 account types. Live Price (col I) via =GOOGLEFINANCE(B&lt;row&gt;) in Sheets.</t>
        </is>
      </c>
    </row>
    <row r="15" ht="28" customHeight="1">
      <c r="B15" s="16" t="inlineStr">
        <is>
          <t>🏠 Dashboard</t>
        </is>
      </c>
      <c r="C15" s="88" t="inlineStr">
        <is>
          <t>Asset allocation donut · top-5 holdings · 24-mo trajectory · dividend calendar · drift alerts.</t>
        </is>
      </c>
    </row>
    <row r="16" ht="28" customHeight="1">
      <c r="B16" s="16" t="inlineStr">
        <is>
          <t>💵 Cash &amp; FX Holdings</t>
        </is>
      </c>
      <c r="C16" s="88" t="inlineStr">
        <is>
          <t>Multi-currency cash positions. FX via =GOOGLEFINANCE("CURRENCY:EURUSD") in Sheets.</t>
        </is>
      </c>
    </row>
    <row r="17" ht="28" customHeight="1">
      <c r="B17" s="16" t="inlineStr">
        <is>
          <t>📈 Stocks Tracker</t>
        </is>
      </c>
      <c r="C17" s="88" t="inlineStr">
        <is>
          <t>Per-ticker monthly price log. Backtest your conviction against actual returns.</t>
        </is>
      </c>
    </row>
    <row r="18" ht="28" customHeight="1">
      <c r="B18" s="16" t="inlineStr">
        <is>
          <t>🗂️ ETFs &amp; Mutual Funds</t>
        </is>
      </c>
      <c r="C18" s="88" t="inlineStr">
        <is>
          <t>Expense ratio highlighted. Distribution + NAV log. Anti-overlap framing.</t>
        </is>
      </c>
    </row>
    <row r="19" ht="28" customHeight="1">
      <c r="B19" s="16" t="inlineStr">
        <is>
          <t>💰 Dividend Income Calendar</t>
        </is>
      </c>
      <c r="C19" s="88" t="inlineStr">
        <is>
          <t>12-month forward calendar. Cash-gap month flag for the AI Dividend Optimizer prompt.</t>
        </is>
      </c>
    </row>
    <row r="20" ht="28" customHeight="1">
      <c r="B20" s="16" t="inlineStr">
        <is>
          <t>📈 Asset Allocation</t>
        </is>
      </c>
      <c r="C20" s="88" t="inlineStr">
        <is>
          <t>Current vs target across 10 classes. Drift indicators ±5pp. Rebalancing actions list.</t>
        </is>
      </c>
    </row>
    <row r="21" ht="28" customHeight="1">
      <c r="B21" s="16" t="inlineStr">
        <is>
          <t>📊 Annual Summary</t>
        </is>
      </c>
      <c r="C21" s="88" t="inlineStr">
        <is>
          <t>Year-end snapshot — total return, dividends, realized G/L, contributions.</t>
        </is>
      </c>
    </row>
    <row r="22" ht="28" customHeight="1">
      <c r="B22" s="16" t="inlineStr">
        <is>
          <t>💵 Bonds &amp; Fixed Income (Pro)</t>
        </is>
      </c>
      <c r="C22" s="88" t="inlineStr">
        <is>
          <t>Maturity calendar + YTM + coupon schedule. T-bills, CDs, corp/muni bonds.</t>
        </is>
      </c>
    </row>
    <row r="23" ht="28" customHeight="1">
      <c r="B23" s="16" t="inlineStr">
        <is>
          <t>🥇 Precious Metals (Pro)</t>
        </is>
      </c>
      <c r="C23" s="88" t="inlineStr">
        <is>
          <t>Gold/Silver/Platinum/Palladium with spot via GOOGLEFINANCE("CURRENCY:XAUUSD").</t>
        </is>
      </c>
    </row>
    <row r="24" ht="28" customHeight="1">
      <c r="B24" s="16" t="inlineStr">
        <is>
          <t>💎 Crypto Tracker (Pro)</t>
        </is>
      </c>
      <c r="C24" s="88" t="inlineStr">
        <is>
          <t>BTC/ETH/altcoins per exchange + wallet. Cold-wallet flag for self-custody.</t>
        </is>
      </c>
    </row>
    <row r="25" ht="28" customHeight="1">
      <c r="B25" s="16" t="inlineStr">
        <is>
          <t>🏢 REITs Tracker (Pro)</t>
        </is>
      </c>
      <c r="C25" s="88" t="inlineStr">
        <is>
          <t>FFO column (REIT-specific). Sector breakdown. Roth-placement warning.</t>
        </is>
      </c>
    </row>
    <row r="26" ht="28" customHeight="1">
      <c r="B26" s="16" t="inlineStr">
        <is>
          <t>🎁 Options &amp; RSUs (Pro)</t>
        </is>
      </c>
      <c r="C26" s="88" t="inlineStr">
        <is>
          <t>Strike/expiry/delta + vesting calendar. Concentration alert &gt;10% employer stock.</t>
        </is>
      </c>
    </row>
    <row r="27" ht="28" customHeight="1">
      <c r="B27" s="16" t="inlineStr">
        <is>
          <t>📊 Performance &amp; Returns (Pro)</t>
        </is>
      </c>
      <c r="C27" s="88" t="inlineStr">
        <is>
          <t>TWR vs benchmark, MWR, CAGR 1/3/5/10yr/inception.</t>
        </is>
      </c>
    </row>
    <row r="28" ht="28" customHeight="1">
      <c r="B28" s="16" t="inlineStr">
        <is>
          <t>📐 Risk Metrics (Pro)</t>
        </is>
      </c>
      <c r="C28" s="88" t="inlineStr">
        <is>
          <t>Sharpe / Beta / Max Drawdown / Annualized Volatility — the numbers Sharesight charges $96/yr for.</t>
        </is>
      </c>
    </row>
    <row r="29" ht="28" customHeight="1">
      <c r="B29" s="16" t="inlineStr">
        <is>
          <t>🧾 Tax Lot Tracker (Pro)</t>
        </is>
      </c>
      <c r="C29" s="88" t="inlineStr">
        <is>
          <t>Per-lot cost basis. Short-term vs long-term color-coded. Region toggle.</t>
        </is>
      </c>
    </row>
    <row r="30" ht="28" customHeight="1">
      <c r="B30" s="16" t="inlineStr">
        <is>
          <t>📉 Tax-Loss Harvesting (Pro)</t>
        </is>
      </c>
      <c r="C30" s="88" t="inlineStr">
        <is>
          <t>Eligible positions + wash-sale window + suggested replacement.</t>
        </is>
      </c>
    </row>
    <row r="31" ht="28" customHeight="1">
      <c r="B31" s="16" t="inlineStr">
        <is>
          <t>🎯 Scenario Simulator (Pro)</t>
        </is>
      </c>
      <c r="C31" s="88" t="inlineStr">
        <is>
          <t>Drop X%? Add $Y/mo? Impact + recovery timeline.</t>
        </is>
      </c>
    </row>
    <row r="32" ht="28" customHeight="1">
      <c r="B32" s="16" t="inlineStr">
        <is>
          <t>🤖 AI Portfolio Intelligence (AI)</t>
        </is>
      </c>
      <c r="C32" s="88" t="inlineStr">
        <is>
          <t>8 prompts: Allocation · Tax-Loss · Concentration · Look-Through · Scenario · Dividend · Position · Quarterly.</t>
        </is>
      </c>
    </row>
    <row r="35" ht="26" customHeight="1">
      <c r="A35" s="7" t="inlineStr">
        <is>
          <t>Quick FAQ</t>
        </is>
      </c>
    </row>
    <row r="36" ht="3" customHeight="1">
      <c r="A36" s="9" t="n"/>
    </row>
    <row r="38" ht="36" customHeight="1">
      <c r="B38" s="89" t="inlineStr">
        <is>
          <t>Does this work in Excel?</t>
        </is>
      </c>
      <c r="C38" s="90" t="inlineStr">
        <is>
          <t>No. Google Sheets only. GOOGLEFINANCE is Sheets-exclusive — Excel cannot pull live prices, FX rates, or metals spot. We're transparent about this on the listing.</t>
        </is>
      </c>
    </row>
    <row r="40" ht="36" customHeight="1">
      <c r="B40" s="89" t="inlineStr">
        <is>
          <t>How is "live" pricing actually live?</t>
        </is>
      </c>
      <c r="C40" s="90" t="inlineStr">
        <is>
          <t>GOOGLEFINANCE pulls with a 20-minute delay during market hours and updates approximately every minute when the sheet is open. Same delayed feed retail tools use (Yahoo Finance, Bloomberg retail tier).</t>
        </is>
      </c>
    </row>
    <row r="42" ht="36" customHeight="1">
      <c r="B42" s="89" t="inlineStr">
        <is>
          <t>Does it connect to my brokerage?</t>
        </is>
      </c>
      <c r="C42" s="90" t="inlineStr">
        <is>
          <t>No. That's the privacy gate. You enter positions manually — ticker + shares + cost basis + account location. Sharesight/Empower/Kubera require some Plaid-like integration; we don't.</t>
        </is>
      </c>
    </row>
    <row r="44" ht="36" customHeight="1">
      <c r="B44" s="89" t="inlineStr">
        <is>
          <t>How is this different from Sharesight, Stock Rover, Kubera?</t>
        </is>
      </c>
      <c r="C44" s="90" t="inlineStr">
        <is>
          <t>(1) Price — $17-$34 once vs $96-$300/year forever. Sharesight + Stock Rover + Kubera combined = $596/year. Over 5 years that's $2,980 vs $34. (2) Privacy — no broker linking. (3) Depth — 10 asset classes including options/RSUs. (4) Custom — full spreadsheet control.</t>
        </is>
      </c>
    </row>
    <row r="46" ht="36" customHeight="1">
      <c r="B46" s="89" t="inlineStr">
        <is>
          <t>How many positions can I track?</t>
        </is>
      </c>
      <c r="C46" s="90" t="inlineStr">
        <is>
          <t>Essentials supports up to 30 positions. Pro and AI Edition support up to 60. If you have more than 60 positions, contact us — we'll send a custom version (free for AI Edition buyers).</t>
        </is>
      </c>
    </row>
    <row r="48" ht="36" customHeight="1">
      <c r="B48" s="89" t="inlineStr">
        <is>
          <t>Are Sharpe / Beta / Max Drawdown real or simplified?</t>
        </is>
      </c>
      <c r="C48" s="90" t="inlineStr">
        <is>
          <t>Real (Pro+). Sharpe uses your portfolio's returns vs risk-free rate (10-yr UST) and stdev. Beta is calculated against your benchmark (S&amp;P 500 default; configurable). Same formulas Sharesight + Stock Rover use — we show them in cells you can verify.</t>
        </is>
      </c>
    </row>
    <row r="50" ht="36" customHeight="1">
      <c r="B50" s="89" t="inlineStr">
        <is>
          <t>Tax-Loss Harvesting — does it execute trades for me?</t>
        </is>
      </c>
      <c r="C50" s="90" t="inlineStr">
        <is>
          <t>No (privacy + control). It surfaces opportunities. The Tax-Loss Harvesting tab tracks per-position basis vs current value, flags positions with unrealized losses, and shows the wash-sale window. YOU execute trades at your broker.</t>
        </is>
      </c>
    </row>
    <row r="52" ht="36" customHeight="1">
      <c r="B52" s="89" t="inlineStr">
        <is>
          <t>Do I need ChatGPT Plus or Claude Pro for AI features?</t>
        </is>
      </c>
      <c r="C52" s="90" t="inlineStr">
        <is>
          <t>No. The 8 prompts work in ChatGPT free + Claude free. Paste prompt + your data into your own AI. The spreadsheet sends nothing.</t>
        </is>
      </c>
    </row>
    <row r="57" ht="3" customHeight="1">
      <c r="A57" s="9" t="n"/>
    </row>
    <row r="58" ht="22" customHeight="1">
      <c r="A58" s="23" t="inlineStr">
        <is>
          <t>Lime Premium Studios  ·  Investment Portfolio Tracker Pro v1.0  ·  Privacy-first. No Plaid. No app.</t>
        </is>
      </c>
    </row>
  </sheetData>
  <mergeCells count="20">
    <mergeCell ref="B7:C7"/>
    <mergeCell ref="G2:H2"/>
    <mergeCell ref="I2:J2"/>
    <mergeCell ref="A35:M35"/>
    <mergeCell ref="A4:M4"/>
    <mergeCell ref="A10:M10"/>
    <mergeCell ref="K2:M2"/>
    <mergeCell ref="A58:M58"/>
    <mergeCell ref="J1:M1"/>
    <mergeCell ref="A11:M11"/>
    <mergeCell ref="A36:M36"/>
    <mergeCell ref="A2:B2"/>
    <mergeCell ref="C2:D2"/>
    <mergeCell ref="E2:F2"/>
    <mergeCell ref="D1:I1"/>
    <mergeCell ref="B6:C6"/>
    <mergeCell ref="A1:C1"/>
    <mergeCell ref="A12:M12"/>
    <mergeCell ref="A3:M3"/>
    <mergeCell ref="A57:M57"/>
  </mergeCell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Lime Premium Studios</dc:creator>
  <dc:title xmlns:dc="http://purl.org/dc/elements/1.1/">Investment Portfolio Tracker — Pro</dc:title>
  <dc:description xmlns:dc="http://purl.org/dc/elements/1.1/">Investment Portfolio Tracker Pro v1.0 — Lime Premium Studios. 19 tabs. Google Sheets only — GOOGLEFINANCE drives live prices. Privacy-first.</dc:description>
  <dc:subject xmlns:dc="http://purl.org/dc/elements/1.1/">Personal finance · investment portfolio · FIRE · asset allocation · tax-loss harvesting</dc:subject>
  <dcterms:created xmlns:dcterms="http://purl.org/dc/terms/" xmlns:xsi="http://www.w3.org/2001/XMLSchema-instance" xsi:type="dcterms:W3CDTF">2026-05-23T12:52:54Z</dcterms:created>
  <dcterms:modified xmlns:dcterms="http://purl.org/dc/terms/" xmlns:xsi="http://www.w3.org/2001/XMLSchema-instance" xsi:type="dcterms:W3CDTF">2026-05-23T13:40:33Z</dcterms:modified>
  <cp:lastModifiedBy>Lime Premium Studios</cp:lastModifiedBy>
  <cp:category>Personal Finance</cp:category>
  <cp:keywords>investment portfolio tracker, stock tracker, dividend tracker, crypto tracker, ETF tracker, GOOGLEFINANCE, tax loss harvesting, risk metrics, lime premium studios</cp:keywords>
</cp:coreProperties>
</file>